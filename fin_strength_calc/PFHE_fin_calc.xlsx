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계산기" sheetId="1" state="visible" r:id="rId1"/>
    <sheet name="물성DB" sheetId="2" state="visible" r:id="rId2"/>
    <sheet name="좌굴스캔" sheetId="3" state="visible" r:id="rId3"/>
    <sheet name="설명" sheetId="4" state="visible" r:id="rId4"/>
  </sheets>
  <definedNames>
    <definedName name="T_S">물성DB!$A$6:$A$12</definedName>
    <definedName name="V_S">물성DB!$B$6:$B$12</definedName>
    <definedName name="T_SY">물성DB!$D$6:$D$9</definedName>
    <definedName name="V_SY">물성DB!$E$6:$E$9</definedName>
    <definedName name="T_E">물성DB!$G$6:$G$9</definedName>
    <definedName name="V_E">물성DB!$H$6:$H$9</definedName>
    <definedName name="BucklingT">좌굴스캔!$A$2:$A$200</definedName>
    <definedName name="BucklingOK">좌굴스캔!$F$2:$F$200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1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C00000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555555"/>
      <sz val="8"/>
    </font>
    <font>
      <name val="Arial"/>
      <b val="1"/>
      <color rgb="00FFFFFF"/>
      <sz val="14"/>
    </font>
    <font>
      <name val="Arial"/>
      <i val="1"/>
      <color rgb="00333333"/>
      <sz val="9"/>
    </font>
    <font>
      <name val="Arial"/>
      <b val="1"/>
      <color rgb="000000FF"/>
      <sz val="10"/>
    </font>
    <font>
      <name val="Arial"/>
      <b val="1"/>
      <color rgb="001F4E78"/>
      <sz val="11"/>
    </font>
    <font>
      <name val="Arial"/>
      <b val="1"/>
      <color rgb="001F4E78"/>
      <sz val="12"/>
    </font>
    <font>
      <name val="Arial"/>
      <color rgb="00000000"/>
      <sz val="10"/>
    </font>
    <font>
      <name val="Arial"/>
      <b val="1"/>
      <color rgb="002E75B6"/>
      <sz val="11"/>
    </font>
    <font>
      <name val="Arial"/>
      <b val="1"/>
      <color rgb="00C00000"/>
      <sz val="11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7" fillId="3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165" fontId="9" fillId="4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164" fontId="9" fillId="4" borderId="1" applyAlignment="1" pivotButton="0" quotePrefix="0" xfId="0">
      <alignment horizontal="right" vertical="center"/>
    </xf>
    <xf numFmtId="2" fontId="9" fillId="4" borderId="1" applyAlignment="1" pivotButton="0" quotePrefix="0" xfId="0">
      <alignment horizontal="right" vertical="center"/>
    </xf>
    <xf numFmtId="2" fontId="5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164" fontId="3" fillId="6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right" vertical="center"/>
    </xf>
    <xf numFmtId="0" fontId="6" fillId="0" borderId="0" pivotButton="0" quotePrefix="0" xfId="0"/>
    <xf numFmtId="0" fontId="10" fillId="6" borderId="1" applyAlignment="1" pivotButton="0" quotePrefix="0" xfId="0">
      <alignment horizontal="right" vertical="center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0" fillId="0" borderId="0" pivotButton="0" quotePrefix="0" xfId="0"/>
    <xf numFmtId="2" fontId="0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1" customWidth="1" min="2" max="2"/>
    <col width="15" customWidth="1" min="3" max="3"/>
    <col width="8" customWidth="1" min="4" max="4"/>
    <col width="48" customWidth="1" min="5" max="5"/>
  </cols>
  <sheetData>
    <row r="1" ht="24" customHeight="1">
      <c r="B1" s="1" t="inlineStr">
        <is>
          <t>PFHE Plain 핀 적정두께 계산기 (ALPEMA 2024 기반 유도)</t>
        </is>
      </c>
    </row>
    <row r="2">
      <c r="B2" s="2" t="inlineStr">
        <is>
          <t>예비설계용 · 단위 MPa/mm · 파랑=입력 셀 · 인증설계는 ALPEMA 5.15.1.1(승인 계산법)/5.15.1.2(파열시험)에 따름</t>
        </is>
      </c>
    </row>
    <row r="3">
      <c r="B3" s="3">
        <f>IF($C$5&gt;204,"⚠️ 설계온도 204°C 초과 — 3003 재질한계(ALPEMA Table 6-1) 벗어남. 결과 무효!","")</f>
        <v/>
      </c>
    </row>
    <row r="4">
      <c r="B4" s="4" t="inlineStr">
        <is>
          <t>① 입력 (파랑 셀을 편집)</t>
        </is>
      </c>
    </row>
    <row r="5" ht="15" customHeight="1">
      <c r="B5" s="5" t="inlineStr">
        <is>
          <t>설계온도 T</t>
        </is>
      </c>
      <c r="C5" s="6" t="n">
        <v>65</v>
      </c>
      <c r="D5" s="7" t="inlineStr">
        <is>
          <t>°C</t>
        </is>
      </c>
      <c r="E5" s="8" t="inlineStr">
        <is>
          <t>≤ 204 (3003 재질한계)</t>
        </is>
      </c>
    </row>
    <row r="6" ht="15" customHeight="1">
      <c r="B6" s="5" t="inlineStr">
        <is>
          <t>핀 인장 유발 차압 ΔP_t</t>
        </is>
      </c>
      <c r="C6" s="9" t="n">
        <v>5</v>
      </c>
      <c r="D6" s="7" t="inlineStr">
        <is>
          <t>MPa</t>
        </is>
      </c>
      <c r="E6" s="8" t="inlineStr">
        <is>
          <t>통상 = 층 설계압력(MAWP)</t>
        </is>
      </c>
    </row>
    <row r="7" ht="15" customHeight="1">
      <c r="B7" s="5" t="inlineStr">
        <is>
          <t>핀 압축 유발 차압 ΔP_c</t>
        </is>
      </c>
      <c r="C7" s="9" t="n">
        <v>0.6</v>
      </c>
      <c r="D7" s="7" t="inlineStr">
        <is>
          <t>MPa</t>
        </is>
      </c>
      <c r="E7" s="8" t="inlineStr">
        <is>
          <t>인접층 고압/자층 감압 시 (없으면 0)</t>
        </is>
      </c>
    </row>
    <row r="8" ht="15" customHeight="1">
      <c r="B8" s="5" t="inlineStr">
        <is>
          <t>자층 핀 피치 p</t>
        </is>
      </c>
      <c r="C8" s="9" t="n">
        <v>1.4</v>
      </c>
      <c r="D8" s="7" t="inlineStr">
        <is>
          <t>mm</t>
        </is>
      </c>
      <c r="E8" s="8" t="inlineStr">
        <is>
          <t>ALPEMA 1.0–4.5</t>
        </is>
      </c>
    </row>
    <row r="9" ht="15" customHeight="1">
      <c r="B9" s="5" t="inlineStr">
        <is>
          <t>인접층 핀 피치 p_adj</t>
        </is>
      </c>
      <c r="C9" s="9" t="n">
        <v>0</v>
      </c>
      <c r="D9" s="7" t="inlineStr">
        <is>
          <t>mm</t>
        </is>
      </c>
      <c r="E9" s="8" t="inlineStr">
        <is>
          <t>0=자층과 동일. 파팅시트 스팬용</t>
        </is>
      </c>
    </row>
    <row r="10" ht="15" customHeight="1">
      <c r="B10" s="5" t="inlineStr">
        <is>
          <t>핀 높이 h</t>
        </is>
      </c>
      <c r="C10" s="6" t="n">
        <v>6.5</v>
      </c>
      <c r="D10" s="7" t="inlineStr">
        <is>
          <t>mm</t>
        </is>
      </c>
      <c r="E10" s="8" t="inlineStr">
        <is>
          <t>ALPEMA 2.0–12</t>
        </is>
      </c>
    </row>
    <row r="11" ht="15" customHeight="1">
      <c r="B11" s="5" t="inlineStr">
        <is>
          <t>좌굴 유효길이계수 K</t>
        </is>
      </c>
      <c r="C11" s="10" t="n">
        <v>0.7</v>
      </c>
      <c r="D11" s="7" t="inlineStr">
        <is>
          <t>-</t>
        </is>
      </c>
      <c r="E11" s="8" t="inlineStr">
        <is>
          <t>기본 0.7, 구속 불확실 시 1.0</t>
        </is>
      </c>
    </row>
    <row r="12" ht="15" customHeight="1">
      <c r="B12" s="5" t="inlineStr">
        <is>
          <t>인장 스테이 계수 f</t>
        </is>
      </c>
      <c r="C12" s="10" t="n">
        <v>1</v>
      </c>
      <c r="D12" s="7" t="inlineStr">
        <is>
          <t>-</t>
        </is>
      </c>
      <c r="E12" s="8" t="inlineStr">
        <is>
          <t>UG-50(b) 준용 시 1.10</t>
        </is>
      </c>
    </row>
    <row r="13" ht="15" customHeight="1">
      <c r="B13" s="5" t="inlineStr">
        <is>
          <t>제작 공차계수</t>
        </is>
      </c>
      <c r="C13" s="10" t="n">
        <v>1</v>
      </c>
      <c r="D13" s="7" t="inlineStr">
        <is>
          <t>-</t>
        </is>
      </c>
      <c r="E13" s="8" t="inlineStr">
        <is>
          <t>0&lt;f≤1 (예 0.9=공칭의 90%만 유효)</t>
        </is>
      </c>
    </row>
    <row r="14" ht="15" customHeight="1">
      <c r="B14" s="5" t="inlineStr">
        <is>
          <t>파팅시트 차압 w=|P_A−P_B|</t>
        </is>
      </c>
      <c r="C14" s="9" t="n">
        <v>5</v>
      </c>
      <c r="D14" s="7" t="inlineStr">
        <is>
          <t>MPa</t>
        </is>
      </c>
      <c r="E14" s="8" t="inlineStr">
        <is>
          <t>층간 순차압</t>
        </is>
      </c>
    </row>
    <row r="15" ht="15" customHeight="1">
      <c r="B15" s="5" t="inlineStr">
        <is>
          <t>균형가압 P_min</t>
        </is>
      </c>
      <c r="C15" s="9" t="n">
        <v>5</v>
      </c>
      <c r="D15" s="7" t="inlineStr">
        <is>
          <t>MPa</t>
        </is>
      </c>
      <c r="E15" s="8" t="inlineStr">
        <is>
          <t>양면 동시가압 낮은쪽(핀 어긋남 항)</t>
        </is>
      </c>
    </row>
    <row r="16" ht="15" customHeight="1">
      <c r="B16" s="5" t="inlineStr">
        <is>
          <t>선정 핀 두께(공칭) t_sel</t>
        </is>
      </c>
      <c r="C16" s="9" t="n">
        <v>0.3</v>
      </c>
      <c r="D16" s="7" t="inlineStr">
        <is>
          <t>mm</t>
        </is>
      </c>
      <c r="E16" s="8" t="inlineStr">
        <is>
          <t>검증용. 0이면 검증 생략</t>
        </is>
      </c>
    </row>
    <row r="17">
      <c r="B17" s="4" t="inlineStr">
        <is>
          <t>② 상수 및 온도별 물성 (자동)</t>
        </is>
      </c>
    </row>
    <row r="18">
      <c r="B18" s="5" t="inlineStr">
        <is>
          <t>포아송비 ν</t>
        </is>
      </c>
      <c r="C18" s="11" t="n">
        <v>0.33</v>
      </c>
      <c r="D18" s="7" t="inlineStr">
        <is>
          <t>-</t>
        </is>
      </c>
      <c r="E18" s="8" t="inlineStr">
        <is>
          <t>알루미늄</t>
        </is>
      </c>
    </row>
    <row r="19">
      <c r="B19" s="5" t="inlineStr">
        <is>
          <t>좌굴 설계계수 DF</t>
        </is>
      </c>
      <c r="C19" s="12" t="n">
        <v>3</v>
      </c>
      <c r="D19" s="7" t="inlineStr">
        <is>
          <t>-</t>
        </is>
      </c>
      <c r="E19" s="8" t="inlineStr">
        <is>
          <t>ASME UG-28 준용</t>
        </is>
      </c>
    </row>
    <row r="21" ht="15" customHeight="1">
      <c r="B21" s="5" t="inlineStr">
        <is>
          <t>허용응력 S(T)</t>
        </is>
      </c>
      <c r="C21" s="11">
        <f>IF($C$5&lt;=MIN(T_S),INDEX(V_S,1),IF($C$5&gt;=MAX(T_S),INDEX(V_S,COUNT(T_S)),INDEX(V_S,MATCH($C$5,T_S,1))+($C$5-INDEX(T_S,MATCH($C$5,T_S,1)))/(INDEX(T_S,MATCH($C$5,T_S,1)+1)-INDEX(T_S,MATCH($C$5,T_S,1)))*(INDEX(V_S,MATCH($C$5,T_S,1)+1)-INDEX(V_S,MATCH($C$5,T_S,1)))))</f>
        <v/>
      </c>
      <c r="D21" s="7" t="inlineStr">
        <is>
          <t>MPa</t>
        </is>
      </c>
      <c r="E21" s="8" t="inlineStr">
        <is>
          <t>3003-O, 온도 선형보간</t>
        </is>
      </c>
    </row>
    <row r="22" ht="15" customHeight="1">
      <c r="B22" s="5" t="inlineStr">
        <is>
          <t>항복강도 Sy(T)</t>
        </is>
      </c>
      <c r="C22" s="11">
        <f>IF($C$5&lt;=MIN(T_SY),INDEX(V_SY,1),IF($C$5&gt;=MAX(T_SY),INDEX(V_SY,COUNT(T_SY)),INDEX(V_SY,MATCH($C$5,T_SY,1))+($C$5-INDEX(T_SY,MATCH($C$5,T_SY,1)))/(INDEX(T_SY,MATCH($C$5,T_SY,1)+1)-INDEX(T_SY,MATCH($C$5,T_SY,1)))*(INDEX(V_SY,MATCH($C$5,T_SY,1)+1)-INDEX(V_SY,MATCH($C$5,T_SY,1)))))</f>
        <v/>
      </c>
      <c r="D22" s="7" t="inlineStr">
        <is>
          <t>MPa</t>
        </is>
      </c>
      <c r="E22" s="8" t="inlineStr">
        <is>
          <t>Johnson 좌굴 천이용</t>
        </is>
      </c>
    </row>
    <row r="23" ht="15" customHeight="1">
      <c r="B23" s="5" t="inlineStr">
        <is>
          <t>탄성계수 E(T)</t>
        </is>
      </c>
      <c r="C23" s="13">
        <f>IF($C$5&lt;=MIN(T_E),INDEX(V_E,1),IF($C$5&gt;=MAX(T_E),INDEX(V_E,COUNT(T_E)),INDEX(V_E,MATCH($C$5,T_E,1))+($C$5-INDEX(T_E,MATCH($C$5,T_E,1)))/(INDEX(T_E,MATCH($C$5,T_E,1)+1)-INDEX(T_E,MATCH($C$5,T_E,1)))*(INDEX(V_E,MATCH($C$5,T_E,1)+1)-INDEX(V_E,MATCH($C$5,T_E,1)))))</f>
        <v/>
      </c>
      <c r="D23" s="7" t="inlineStr">
        <is>
          <t>MPa</t>
        </is>
      </c>
      <c r="E23" s="8" t="inlineStr">
        <is>
          <t>좌굴 임계응력용</t>
        </is>
      </c>
    </row>
    <row r="24" ht="15" customHeight="1">
      <c r="B24" s="5" t="inlineStr">
        <is>
          <t>온도 유효성</t>
        </is>
      </c>
      <c r="C24" s="14">
        <f>IF($C$5&gt;204,"온도초과(&gt;204°C)","OK")</f>
        <v/>
      </c>
      <c r="D24" s="7" t="inlineStr">
        <is>
          <t>-</t>
        </is>
      </c>
      <c r="E24" s="8" t="inlineStr">
        <is>
          <t>204°C 초과 시 결과 무효</t>
        </is>
      </c>
    </row>
    <row r="25" ht="15" customHeight="1">
      <c r="B25" s="4" t="inlineStr">
        <is>
          <t>③ 결과 — 핀 최소두께</t>
        </is>
      </c>
    </row>
    <row r="26" ht="15" customHeight="1">
      <c r="B26" s="5" t="inlineStr">
        <is>
          <t>[1] 핀 인장 최소두께 (식2)</t>
        </is>
      </c>
      <c r="C26" s="15">
        <f>IF($C$6&lt;=0,0,$C$12*$C$6*$C$8/($C$21+$C$12*$C$6))</f>
        <v/>
      </c>
      <c r="D26" s="7" t="inlineStr">
        <is>
          <t>mm</t>
        </is>
      </c>
      <c r="E26" s="8" t="inlineStr">
        <is>
          <t>t ≥ f·ΔP_t·p/(S+f·ΔP_t)</t>
        </is>
      </c>
    </row>
    <row r="27" ht="15" customHeight="1">
      <c r="B27" s="5" t="inlineStr">
        <is>
          <t>[2] 핀 좌굴 최소두께 (식3~5)</t>
        </is>
      </c>
      <c r="C27" s="15">
        <f>IF($C$7&lt;=0,0,IF(COUNTIF(BucklingOK,1)=0,999,_xlfn.MINIFS(BucklingT,BucklingOK,1)))</f>
        <v/>
      </c>
      <c r="D27" s="7" t="inlineStr">
        <is>
          <t>mm</t>
        </is>
      </c>
      <c r="E27" s="8">
        <f>IF(AND($C$7&gt;0,COUNTIF(BucklingOK,1)=0),"⚠️ 좌굴 소요두께 1.0mm 초과 — 표준 핀 불가","Johnson 천이·전피치 하중폭 (좌굴스캔 시트)")</f>
        <v/>
      </c>
    </row>
    <row r="28" ht="15" customHeight="1">
      <c r="B28" s="5" t="inlineStr">
        <is>
          <t>[3] 요구 핀두께 (유효)</t>
        </is>
      </c>
      <c r="C28" s="15">
        <f>MAX($C$26,$C$27)</f>
        <v/>
      </c>
      <c r="D28" s="7" t="inlineStr">
        <is>
          <t>mm</t>
        </is>
      </c>
      <c r="E28" s="8" t="inlineStr">
        <is>
          <t>max(인장, 좌굴)</t>
        </is>
      </c>
    </row>
    <row r="29" ht="15" customHeight="1">
      <c r="B29" s="5" t="inlineStr">
        <is>
          <t xml:space="preserve">    요구 핀두께 (공칭)</t>
        </is>
      </c>
      <c r="C29" s="15">
        <f>IF($C$5&gt;204,"온도초과",$C$28/$C$13)</f>
        <v/>
      </c>
      <c r="D29" s="7" t="inlineStr">
        <is>
          <t>mm</t>
        </is>
      </c>
      <c r="E29" s="8" t="inlineStr">
        <is>
          <t>유효 / 공차계수</t>
        </is>
      </c>
    </row>
    <row r="30" ht="15" customHeight="1">
      <c r="B30" s="5" t="inlineStr">
        <is>
          <t xml:space="preserve">  ALPEMA 두께범위 판정</t>
        </is>
      </c>
      <c r="C30" s="14">
        <f>IF($C$5&gt;204,"—",IF(AND($C$29&gt;=0.15,$C$29&lt;=0.7),"OK 범위내","⚠️ 범위밖(0.15-0.7)"))</f>
        <v/>
      </c>
      <c r="D30" s="7" t="inlineStr">
        <is>
          <t>-</t>
        </is>
      </c>
      <c r="E30" s="8" t="inlineStr">
        <is>
          <t>제작 가능 범위 0.15–0.7 mm</t>
        </is>
      </c>
    </row>
    <row r="31" ht="15" customHeight="1">
      <c r="B31" s="5" t="inlineStr">
        <is>
          <t xml:space="preserve">  핀 피치 판정</t>
        </is>
      </c>
      <c r="C31" s="14">
        <f>IF(AND($C$8&gt;=1,$C$8&lt;=4.5),"OK 범위내","⚠️ 범위밖(1.0-4.5)")</f>
        <v/>
      </c>
      <c r="D31" s="7" t="inlineStr">
        <is>
          <t>-</t>
        </is>
      </c>
      <c r="E31" s="8" t="inlineStr">
        <is>
          <t>ALPEMA 5.11.4</t>
        </is>
      </c>
    </row>
    <row r="32" ht="15" customHeight="1">
      <c r="B32" s="5" t="inlineStr">
        <is>
          <t xml:space="preserve">  핀 높이 판정</t>
        </is>
      </c>
      <c r="C32" s="14">
        <f>IF(AND($C$10&gt;=2,$C$10&lt;=12),"OK 범위내","⚠️ 범위밖(2-12)")</f>
        <v/>
      </c>
      <c r="D32" s="7" t="inlineStr">
        <is>
          <t>-</t>
        </is>
      </c>
      <c r="E32" s="8" t="inlineStr">
        <is>
          <t>ALPEMA 5.11.4</t>
        </is>
      </c>
    </row>
    <row r="33">
      <c r="B33" s="4" t="inlineStr">
        <is>
          <t>④ 파팅시트 두께 (식6~7)</t>
        </is>
      </c>
    </row>
    <row r="34" ht="15" customHeight="1">
      <c r="B34" s="5" t="inlineStr">
        <is>
          <t>지배 피치 p̄</t>
        </is>
      </c>
      <c r="C34" s="16">
        <f>IF($C$9&gt;0,MAX($C$8,$C$9),$C$8)</f>
        <v/>
      </c>
      <c r="D34" s="7" t="inlineStr">
        <is>
          <t>mm</t>
        </is>
      </c>
      <c r="E34" s="8" t="inlineStr">
        <is>
          <t>max(자층, 인접층 피치)</t>
        </is>
      </c>
    </row>
    <row r="35" ht="15" customHeight="1">
      <c r="B35" s="5" t="inlineStr">
        <is>
          <t>스팬 공제 핀두께 t_fin,eff</t>
        </is>
      </c>
      <c r="C35" s="16">
        <f>IF($C$9&gt;$C$8,0,IF($C$16&gt;0,$C$16*$C$13,$C$28))</f>
        <v/>
      </c>
      <c r="D35" s="7" t="inlineStr">
        <is>
          <t>mm</t>
        </is>
      </c>
      <c r="E35" s="8" t="inlineStr">
        <is>
          <t>인접층 지배 시 0(보수) — 문서 §6.1</t>
        </is>
      </c>
    </row>
    <row r="36" ht="15" customHeight="1">
      <c r="B36" s="5" t="inlineStr">
        <is>
          <t>스팬 s</t>
        </is>
      </c>
      <c r="C36" s="16">
        <f>$C$34-$C$35</f>
        <v/>
      </c>
      <c r="D36" s="7" t="inlineStr">
        <is>
          <t>mm</t>
        </is>
      </c>
      <c r="E36" s="8" t="inlineStr">
        <is>
          <t>s = p̄ − t_fin,eff</t>
        </is>
      </c>
    </row>
    <row r="37" ht="15" customHeight="1">
      <c r="B37" s="5" t="inlineStr">
        <is>
          <t>설계 모멘트 M_d</t>
        </is>
      </c>
      <c r="C37" s="17">
        <f>$C$14*$C$36^2/12+$C$15*($C$34-$C$35)*$C$34/8</f>
        <v/>
      </c>
      <c r="D37" s="7" t="inlineStr">
        <is>
          <t>N·mm/mm</t>
        </is>
      </c>
      <c r="E37" s="8" t="inlineStr">
        <is>
          <t>w·s²/12 + P_min·(p̄−t)·p̄/8</t>
        </is>
      </c>
    </row>
    <row r="38" ht="15" customHeight="1">
      <c r="B38" s="5" t="inlineStr">
        <is>
          <t>파팅시트 최소두께 t_ps</t>
        </is>
      </c>
      <c r="C38" s="15">
        <f>IF($C$36&lt;=0,"스팬오류",SQRT(4*$C$37/$C$21))</f>
        <v/>
      </c>
      <c r="D38" s="7" t="inlineStr">
        <is>
          <t>mm</t>
        </is>
      </c>
      <c r="E38" s="8" t="inlineStr">
        <is>
          <t>σ_b ≤ 1.5·S</t>
        </is>
      </c>
    </row>
    <row r="39" ht="15" customHeight="1">
      <c r="B39" s="5" t="inlineStr">
        <is>
          <t xml:space="preserve">  ALPEMA 시트범위 판정</t>
        </is>
      </c>
      <c r="C39" s="14">
        <f>IF(NOT(ISNUMBER($C$38)),"—",IF($C$38&gt;2,"⚠️ 범위밖(&gt;2.0)",IF($C$38&lt;0.8,"소요&lt;0.8 → 표준 0.8 적용","OK 범위내")))</f>
        <v/>
      </c>
      <c r="D39" s="7" t="inlineStr">
        <is>
          <t>-</t>
        </is>
      </c>
      <c r="E39" s="8" t="inlineStr">
        <is>
          <t>ALPEMA 5.11.1: 0.8–2.0 mm</t>
        </is>
      </c>
    </row>
    <row r="40">
      <c r="B40" s="4" t="inlineStr">
        <is>
          <t>⑤ 선정 두께 검증 (t_sel 입력 시)</t>
        </is>
      </c>
    </row>
    <row r="41" ht="15" customHeight="1">
      <c r="B41" s="5" t="inlineStr">
        <is>
          <t>유효 핀두께 t_eff</t>
        </is>
      </c>
      <c r="C41" s="16">
        <f>IF($C$16&gt;0,$C$16*$C$13,"")</f>
        <v/>
      </c>
      <c r="D41" s="7" t="inlineStr">
        <is>
          <t>mm</t>
        </is>
      </c>
      <c r="E41" s="8" t="inlineStr">
        <is>
          <t>공칭 × 공차계수</t>
        </is>
      </c>
    </row>
    <row r="42" ht="15" customHeight="1">
      <c r="B42" s="5" t="inlineStr">
        <is>
          <t>인장 f·σ_t</t>
        </is>
      </c>
      <c r="C42" s="11">
        <f>IF($C$16&gt;0,IF($C$16*$C$13&gt;=$C$8,"두께≥피치",IF($C$6&gt;0,$C$12*$C$6*($C$8-$C$41)/$C$41,0)),"")</f>
        <v/>
      </c>
      <c r="D42" s="7" t="inlineStr">
        <is>
          <t>MPa</t>
        </is>
      </c>
      <c r="E42" s="8" t="inlineStr">
        <is>
          <t>vs S(T)</t>
        </is>
      </c>
    </row>
    <row r="43" ht="15" customHeight="1">
      <c r="B43" s="5" t="inlineStr">
        <is>
          <t xml:space="preserve">  인장 판정</t>
        </is>
      </c>
      <c r="C43" s="18">
        <f>IF($C$16&gt;0,IF(NOT(ISNUMBER($C$42)),"—",IF($C$42&lt;=$C$21,"합격 ✓","불합격 ✗")),"")</f>
        <v/>
      </c>
      <c r="D43" s="7" t="inlineStr">
        <is>
          <t>-</t>
        </is>
      </c>
    </row>
    <row r="44" ht="15" customHeight="1">
      <c r="B44" s="5" t="inlineStr">
        <is>
          <t>압축 σ_c</t>
        </is>
      </c>
      <c r="C44" s="11">
        <f>IF(AND($C$16&gt;0,$C$7&gt;0),IF($C$16*$C$13&gt;=$C$8,"두께≥피치",$C$7*$C$8/$C$41),"")</f>
        <v/>
      </c>
      <c r="D44" s="7" t="inlineStr">
        <is>
          <t>MPa</t>
        </is>
      </c>
      <c r="E44" s="8" t="inlineStr">
        <is>
          <t>ΔP_c·p/t_eff</t>
        </is>
      </c>
    </row>
    <row r="45" ht="15" customHeight="1">
      <c r="B45" s="5" t="inlineStr">
        <is>
          <t>압축 σ_cr (Johnson)</t>
        </is>
      </c>
      <c r="C45" s="11">
        <f>IF(ISNUMBER($G$45),IF($G$45&lt;=$C$22/2,$G$45,$C$22*(1-$C$22/(4*$G$45))),"")</f>
        <v/>
      </c>
      <c r="D45" s="7" t="inlineStr">
        <is>
          <t>MPa</t>
        </is>
      </c>
      <c r="E45" s="8" t="inlineStr">
        <is>
          <t>비탄성 천이</t>
        </is>
      </c>
      <c r="F45" s="19" t="inlineStr">
        <is>
          <t>σ_cr,E 헬퍼 →</t>
        </is>
      </c>
      <c r="G45" s="19">
        <f>IF(AND($C$16&gt;0,$C$7&gt;0,$C$16*$C$13&lt;$C$8),PI()^2*$C$23/(12*(1-$C$18^2))*($C$41/($C$11*$C$10))^2,"")</f>
        <v/>
      </c>
    </row>
    <row r="46" ht="15" customHeight="1">
      <c r="B46" s="5" t="inlineStr">
        <is>
          <t>압축 허용 min(σ_cr/DF,S)</t>
        </is>
      </c>
      <c r="C46" s="11">
        <f>IF(ISNUMBER($C$45),MIN($C$45/$C$19,$C$21),"")</f>
        <v/>
      </c>
      <c r="D46" s="7" t="inlineStr">
        <is>
          <t>MPa</t>
        </is>
      </c>
    </row>
    <row r="47" ht="15" customHeight="1">
      <c r="B47" s="5" t="inlineStr">
        <is>
          <t xml:space="preserve">  압축 판정</t>
        </is>
      </c>
      <c r="C47" s="18">
        <f>IF(AND($C$16&gt;0,$C$7&gt;0),IF(NOT(ISNUMBER($C$44)),"—",IF($C$44&lt;=$C$46,"합격 ✓","불합격 ✗")),"")</f>
        <v/>
      </c>
      <c r="D47" s="7" t="inlineStr">
        <is>
          <t>-</t>
        </is>
      </c>
    </row>
    <row r="48" ht="15" customHeight="1">
      <c r="B48" s="5" t="inlineStr">
        <is>
          <t>■ 종합 판정</t>
        </is>
      </c>
      <c r="C48" s="20">
        <f>IF($C$5&gt;204,"온도초과",IF($C$16&gt;0,IF(OR($C$43="불합격 ✗",$C$47="불합격 ✗"),"■ 종합 불합격","■ 종합 합격"),"(선정두께 미입력 — 검증 생략)"))</f>
        <v/>
      </c>
      <c r="D48" s="7" t="inlineStr">
        <is>
          <t>-</t>
        </is>
      </c>
    </row>
  </sheetData>
  <mergeCells count="8">
    <mergeCell ref="B17:E17"/>
    <mergeCell ref="B40:E40"/>
    <mergeCell ref="B1:E1"/>
    <mergeCell ref="B4:E4"/>
    <mergeCell ref="B33:E33"/>
    <mergeCell ref="B25:E25"/>
    <mergeCell ref="B3:E3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4" max="4"/>
    <col width="11" customWidth="1" min="5" max="5"/>
    <col width="11" customWidth="1" min="7" max="7"/>
    <col width="11" customWidth="1" min="8" max="8"/>
  </cols>
  <sheetData>
    <row r="1">
      <c r="A1" s="21" t="inlineStr">
        <is>
          <t>재료 물성 데이터 — AL 3003-O (ASME Sec. II-D 대표값)</t>
        </is>
      </c>
    </row>
    <row r="2">
      <c r="A2" s="22" t="inlineStr">
        <is>
          <t>⚠️ 대표값 — 실제 설계 전 적용 코드 연도판 값으로 교체할 것. 온도 오름차순 유지.</t>
        </is>
      </c>
    </row>
    <row r="4">
      <c r="A4" s="23" t="inlineStr">
        <is>
          <t>허용응력 S(T)</t>
        </is>
      </c>
      <c r="D4" s="23" t="inlineStr">
        <is>
          <t>항복강도 Sy(T)</t>
        </is>
      </c>
      <c r="G4" s="23" t="inlineStr">
        <is>
          <t>탄성계수 E(T)</t>
        </is>
      </c>
    </row>
    <row r="5">
      <c r="A5" s="24" t="inlineStr">
        <is>
          <t>온도(°C)</t>
        </is>
      </c>
      <c r="B5" s="24" t="inlineStr">
        <is>
          <t>S (MPa)</t>
        </is>
      </c>
      <c r="D5" s="24" t="inlineStr">
        <is>
          <t>온도(°C)</t>
        </is>
      </c>
      <c r="E5" s="24" t="inlineStr">
        <is>
          <t>Sy (MPa)</t>
        </is>
      </c>
      <c r="G5" s="24" t="inlineStr">
        <is>
          <t>온도(°C)</t>
        </is>
      </c>
      <c r="H5" s="24" t="inlineStr">
        <is>
          <t>E (MPa)</t>
        </is>
      </c>
    </row>
    <row r="6">
      <c r="A6" s="25" t="n">
        <v>40</v>
      </c>
      <c r="B6" s="25" t="n">
        <v>22.8</v>
      </c>
      <c r="D6" s="25" t="n">
        <v>40</v>
      </c>
      <c r="E6" s="25" t="n">
        <v>34.5</v>
      </c>
      <c r="G6" s="25" t="n">
        <v>25</v>
      </c>
      <c r="H6" s="25" t="n">
        <v>68900</v>
      </c>
    </row>
    <row r="7">
      <c r="A7" s="25" t="n">
        <v>65</v>
      </c>
      <c r="B7" s="25" t="n">
        <v>22.8</v>
      </c>
      <c r="D7" s="25" t="n">
        <v>93</v>
      </c>
      <c r="E7" s="25" t="n">
        <v>33.1</v>
      </c>
      <c r="G7" s="25" t="n">
        <v>93</v>
      </c>
      <c r="H7" s="25" t="n">
        <v>66200</v>
      </c>
    </row>
    <row r="8">
      <c r="A8" s="25" t="n">
        <v>93</v>
      </c>
      <c r="B8" s="25" t="n">
        <v>22.6</v>
      </c>
      <c r="D8" s="25" t="n">
        <v>149</v>
      </c>
      <c r="E8" s="25" t="n">
        <v>29.6</v>
      </c>
      <c r="G8" s="25" t="n">
        <v>149</v>
      </c>
      <c r="H8" s="25" t="n">
        <v>63400</v>
      </c>
    </row>
    <row r="9">
      <c r="A9" s="25" t="n">
        <v>121</v>
      </c>
      <c r="B9" s="25" t="n">
        <v>21.4</v>
      </c>
      <c r="D9" s="25" t="n">
        <v>204</v>
      </c>
      <c r="E9" s="25" t="n">
        <v>24.1</v>
      </c>
      <c r="G9" s="25" t="n">
        <v>204</v>
      </c>
      <c r="H9" s="25" t="n">
        <v>60000</v>
      </c>
    </row>
    <row r="10">
      <c r="A10" s="25" t="n">
        <v>149</v>
      </c>
      <c r="B10" s="25" t="n">
        <v>18.6</v>
      </c>
    </row>
    <row r="11">
      <c r="A11" s="25" t="n">
        <v>177</v>
      </c>
      <c r="B11" s="25" t="n">
        <v>14.5</v>
      </c>
    </row>
    <row r="12">
      <c r="A12" s="25" t="n">
        <v>204</v>
      </c>
      <c r="B12" s="25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7" customWidth="1" min="4" max="4"/>
    <col width="11" customWidth="1" min="5" max="5"/>
    <col width="9" customWidth="1" min="6" max="6"/>
  </cols>
  <sheetData>
    <row r="1">
      <c r="A1" s="24" t="inlineStr">
        <is>
          <t>t 후보(mm)</t>
        </is>
      </c>
      <c r="B1" s="24" t="inlineStr">
        <is>
          <t>σ_c(MPa)</t>
        </is>
      </c>
      <c r="C1" s="24" t="inlineStr">
        <is>
          <t>σ_cr,E(MPa)</t>
        </is>
      </c>
      <c r="D1" s="24" t="inlineStr">
        <is>
          <t>σ_cr Johnson(MPa)</t>
        </is>
      </c>
      <c r="E1" s="24" t="inlineStr">
        <is>
          <t>허용(MPa)</t>
        </is>
      </c>
      <c r="F1" s="24" t="inlineStr">
        <is>
          <t>OK(1/0)</t>
        </is>
      </c>
      <c r="H1" s="19" t="inlineStr">
        <is>
          <t>핀 좌굴 최소두께 = ΔP_c&gt;0 일 때 OK=1 인 최소 t 후보 (계산기!C27, MINIFS)</t>
        </is>
      </c>
    </row>
    <row r="2">
      <c r="A2" s="26" t="n">
        <v>0.01</v>
      </c>
      <c r="B2" s="27">
        <f>계산기!$C$7*계산기!$C$8/A2</f>
        <v/>
      </c>
      <c r="C2" s="27">
        <f>PI()^2*계산기!$C$23/(12*(1-계산기!$C$18^2))*(A2/(계산기!$C$11*계산기!$C$10))^2</f>
        <v/>
      </c>
      <c r="D2" s="27">
        <f>IF(C2&lt;=계산기!$C$22/2,C2,계산기!$C$22*(1-계산기!$C$22/(4*C2)))</f>
        <v/>
      </c>
      <c r="E2" s="27">
        <f>MIN(D2/계산기!$C$19,계산기!$C$21)</f>
        <v/>
      </c>
      <c r="F2">
        <f>IF(B2&lt;=E2,1,0)</f>
        <v/>
      </c>
    </row>
    <row r="3">
      <c r="A3" s="26" t="n">
        <v>0.015</v>
      </c>
      <c r="B3" s="27">
        <f>계산기!$C$7*계산기!$C$8/A3</f>
        <v/>
      </c>
      <c r="C3" s="27">
        <f>PI()^2*계산기!$C$23/(12*(1-계산기!$C$18^2))*(A3/(계산기!$C$11*계산기!$C$10))^2</f>
        <v/>
      </c>
      <c r="D3" s="27">
        <f>IF(C3&lt;=계산기!$C$22/2,C3,계산기!$C$22*(1-계산기!$C$22/(4*C3)))</f>
        <v/>
      </c>
      <c r="E3" s="27">
        <f>MIN(D3/계산기!$C$19,계산기!$C$21)</f>
        <v/>
      </c>
      <c r="F3">
        <f>IF(B3&lt;=E3,1,0)</f>
        <v/>
      </c>
    </row>
    <row r="4">
      <c r="A4" s="26" t="n">
        <v>0.02</v>
      </c>
      <c r="B4" s="27">
        <f>계산기!$C$7*계산기!$C$8/A4</f>
        <v/>
      </c>
      <c r="C4" s="27">
        <f>PI()^2*계산기!$C$23/(12*(1-계산기!$C$18^2))*(A4/(계산기!$C$11*계산기!$C$10))^2</f>
        <v/>
      </c>
      <c r="D4" s="27">
        <f>IF(C4&lt;=계산기!$C$22/2,C4,계산기!$C$22*(1-계산기!$C$22/(4*C4)))</f>
        <v/>
      </c>
      <c r="E4" s="27">
        <f>MIN(D4/계산기!$C$19,계산기!$C$21)</f>
        <v/>
      </c>
      <c r="F4">
        <f>IF(B4&lt;=E4,1,0)</f>
        <v/>
      </c>
    </row>
    <row r="5">
      <c r="A5" s="26" t="n">
        <v>0.025</v>
      </c>
      <c r="B5" s="27">
        <f>계산기!$C$7*계산기!$C$8/A5</f>
        <v/>
      </c>
      <c r="C5" s="27">
        <f>PI()^2*계산기!$C$23/(12*(1-계산기!$C$18^2))*(A5/(계산기!$C$11*계산기!$C$10))^2</f>
        <v/>
      </c>
      <c r="D5" s="27">
        <f>IF(C5&lt;=계산기!$C$22/2,C5,계산기!$C$22*(1-계산기!$C$22/(4*C5)))</f>
        <v/>
      </c>
      <c r="E5" s="27">
        <f>MIN(D5/계산기!$C$19,계산기!$C$21)</f>
        <v/>
      </c>
      <c r="F5">
        <f>IF(B5&lt;=E5,1,0)</f>
        <v/>
      </c>
    </row>
    <row r="6">
      <c r="A6" s="26" t="n">
        <v>0.03</v>
      </c>
      <c r="B6" s="27">
        <f>계산기!$C$7*계산기!$C$8/A6</f>
        <v/>
      </c>
      <c r="C6" s="27">
        <f>PI()^2*계산기!$C$23/(12*(1-계산기!$C$18^2))*(A6/(계산기!$C$11*계산기!$C$10))^2</f>
        <v/>
      </c>
      <c r="D6" s="27">
        <f>IF(C6&lt;=계산기!$C$22/2,C6,계산기!$C$22*(1-계산기!$C$22/(4*C6)))</f>
        <v/>
      </c>
      <c r="E6" s="27">
        <f>MIN(D6/계산기!$C$19,계산기!$C$21)</f>
        <v/>
      </c>
      <c r="F6">
        <f>IF(B6&lt;=E6,1,0)</f>
        <v/>
      </c>
    </row>
    <row r="7">
      <c r="A7" s="26" t="n">
        <v>0.035</v>
      </c>
      <c r="B7" s="27">
        <f>계산기!$C$7*계산기!$C$8/A7</f>
        <v/>
      </c>
      <c r="C7" s="27">
        <f>PI()^2*계산기!$C$23/(12*(1-계산기!$C$18^2))*(A7/(계산기!$C$11*계산기!$C$10))^2</f>
        <v/>
      </c>
      <c r="D7" s="27">
        <f>IF(C7&lt;=계산기!$C$22/2,C7,계산기!$C$22*(1-계산기!$C$22/(4*C7)))</f>
        <v/>
      </c>
      <c r="E7" s="27">
        <f>MIN(D7/계산기!$C$19,계산기!$C$21)</f>
        <v/>
      </c>
      <c r="F7">
        <f>IF(B7&lt;=E7,1,0)</f>
        <v/>
      </c>
    </row>
    <row r="8">
      <c r="A8" s="26" t="n">
        <v>0.04</v>
      </c>
      <c r="B8" s="27">
        <f>계산기!$C$7*계산기!$C$8/A8</f>
        <v/>
      </c>
      <c r="C8" s="27">
        <f>PI()^2*계산기!$C$23/(12*(1-계산기!$C$18^2))*(A8/(계산기!$C$11*계산기!$C$10))^2</f>
        <v/>
      </c>
      <c r="D8" s="27">
        <f>IF(C8&lt;=계산기!$C$22/2,C8,계산기!$C$22*(1-계산기!$C$22/(4*C8)))</f>
        <v/>
      </c>
      <c r="E8" s="27">
        <f>MIN(D8/계산기!$C$19,계산기!$C$21)</f>
        <v/>
      </c>
      <c r="F8">
        <f>IF(B8&lt;=E8,1,0)</f>
        <v/>
      </c>
    </row>
    <row r="9">
      <c r="A9" s="26" t="n">
        <v>0.045</v>
      </c>
      <c r="B9" s="27">
        <f>계산기!$C$7*계산기!$C$8/A9</f>
        <v/>
      </c>
      <c r="C9" s="27">
        <f>PI()^2*계산기!$C$23/(12*(1-계산기!$C$18^2))*(A9/(계산기!$C$11*계산기!$C$10))^2</f>
        <v/>
      </c>
      <c r="D9" s="27">
        <f>IF(C9&lt;=계산기!$C$22/2,C9,계산기!$C$22*(1-계산기!$C$22/(4*C9)))</f>
        <v/>
      </c>
      <c r="E9" s="27">
        <f>MIN(D9/계산기!$C$19,계산기!$C$21)</f>
        <v/>
      </c>
      <c r="F9">
        <f>IF(B9&lt;=E9,1,0)</f>
        <v/>
      </c>
    </row>
    <row r="10">
      <c r="A10" s="26" t="n">
        <v>0.05</v>
      </c>
      <c r="B10" s="27">
        <f>계산기!$C$7*계산기!$C$8/A10</f>
        <v/>
      </c>
      <c r="C10" s="27">
        <f>PI()^2*계산기!$C$23/(12*(1-계산기!$C$18^2))*(A10/(계산기!$C$11*계산기!$C$10))^2</f>
        <v/>
      </c>
      <c r="D10" s="27">
        <f>IF(C10&lt;=계산기!$C$22/2,C10,계산기!$C$22*(1-계산기!$C$22/(4*C10)))</f>
        <v/>
      </c>
      <c r="E10" s="27">
        <f>MIN(D10/계산기!$C$19,계산기!$C$21)</f>
        <v/>
      </c>
      <c r="F10">
        <f>IF(B10&lt;=E10,1,0)</f>
        <v/>
      </c>
    </row>
    <row r="11">
      <c r="A11" s="26" t="n">
        <v>0.055</v>
      </c>
      <c r="B11" s="27">
        <f>계산기!$C$7*계산기!$C$8/A11</f>
        <v/>
      </c>
      <c r="C11" s="27">
        <f>PI()^2*계산기!$C$23/(12*(1-계산기!$C$18^2))*(A11/(계산기!$C$11*계산기!$C$10))^2</f>
        <v/>
      </c>
      <c r="D11" s="27">
        <f>IF(C11&lt;=계산기!$C$22/2,C11,계산기!$C$22*(1-계산기!$C$22/(4*C11)))</f>
        <v/>
      </c>
      <c r="E11" s="27">
        <f>MIN(D11/계산기!$C$19,계산기!$C$21)</f>
        <v/>
      </c>
      <c r="F11">
        <f>IF(B11&lt;=E11,1,0)</f>
        <v/>
      </c>
    </row>
    <row r="12">
      <c r="A12" s="26" t="n">
        <v>0.06</v>
      </c>
      <c r="B12" s="27">
        <f>계산기!$C$7*계산기!$C$8/A12</f>
        <v/>
      </c>
      <c r="C12" s="27">
        <f>PI()^2*계산기!$C$23/(12*(1-계산기!$C$18^2))*(A12/(계산기!$C$11*계산기!$C$10))^2</f>
        <v/>
      </c>
      <c r="D12" s="27">
        <f>IF(C12&lt;=계산기!$C$22/2,C12,계산기!$C$22*(1-계산기!$C$22/(4*C12)))</f>
        <v/>
      </c>
      <c r="E12" s="27">
        <f>MIN(D12/계산기!$C$19,계산기!$C$21)</f>
        <v/>
      </c>
      <c r="F12">
        <f>IF(B12&lt;=E12,1,0)</f>
        <v/>
      </c>
    </row>
    <row r="13">
      <c r="A13" s="26" t="n">
        <v>0.065</v>
      </c>
      <c r="B13" s="27">
        <f>계산기!$C$7*계산기!$C$8/A13</f>
        <v/>
      </c>
      <c r="C13" s="27">
        <f>PI()^2*계산기!$C$23/(12*(1-계산기!$C$18^2))*(A13/(계산기!$C$11*계산기!$C$10))^2</f>
        <v/>
      </c>
      <c r="D13" s="27">
        <f>IF(C13&lt;=계산기!$C$22/2,C13,계산기!$C$22*(1-계산기!$C$22/(4*C13)))</f>
        <v/>
      </c>
      <c r="E13" s="27">
        <f>MIN(D13/계산기!$C$19,계산기!$C$21)</f>
        <v/>
      </c>
      <c r="F13">
        <f>IF(B13&lt;=E13,1,0)</f>
        <v/>
      </c>
    </row>
    <row r="14">
      <c r="A14" s="26" t="n">
        <v>0.07000000000000001</v>
      </c>
      <c r="B14" s="27">
        <f>계산기!$C$7*계산기!$C$8/A14</f>
        <v/>
      </c>
      <c r="C14" s="27">
        <f>PI()^2*계산기!$C$23/(12*(1-계산기!$C$18^2))*(A14/(계산기!$C$11*계산기!$C$10))^2</f>
        <v/>
      </c>
      <c r="D14" s="27">
        <f>IF(C14&lt;=계산기!$C$22/2,C14,계산기!$C$22*(1-계산기!$C$22/(4*C14)))</f>
        <v/>
      </c>
      <c r="E14" s="27">
        <f>MIN(D14/계산기!$C$19,계산기!$C$21)</f>
        <v/>
      </c>
      <c r="F14">
        <f>IF(B14&lt;=E14,1,0)</f>
        <v/>
      </c>
    </row>
    <row r="15">
      <c r="A15" s="26" t="n">
        <v>0.075</v>
      </c>
      <c r="B15" s="27">
        <f>계산기!$C$7*계산기!$C$8/A15</f>
        <v/>
      </c>
      <c r="C15" s="27">
        <f>PI()^2*계산기!$C$23/(12*(1-계산기!$C$18^2))*(A15/(계산기!$C$11*계산기!$C$10))^2</f>
        <v/>
      </c>
      <c r="D15" s="27">
        <f>IF(C15&lt;=계산기!$C$22/2,C15,계산기!$C$22*(1-계산기!$C$22/(4*C15)))</f>
        <v/>
      </c>
      <c r="E15" s="27">
        <f>MIN(D15/계산기!$C$19,계산기!$C$21)</f>
        <v/>
      </c>
      <c r="F15">
        <f>IF(B15&lt;=E15,1,0)</f>
        <v/>
      </c>
    </row>
    <row r="16">
      <c r="A16" s="26" t="n">
        <v>0.08</v>
      </c>
      <c r="B16" s="27">
        <f>계산기!$C$7*계산기!$C$8/A16</f>
        <v/>
      </c>
      <c r="C16" s="27">
        <f>PI()^2*계산기!$C$23/(12*(1-계산기!$C$18^2))*(A16/(계산기!$C$11*계산기!$C$10))^2</f>
        <v/>
      </c>
      <c r="D16" s="27">
        <f>IF(C16&lt;=계산기!$C$22/2,C16,계산기!$C$22*(1-계산기!$C$22/(4*C16)))</f>
        <v/>
      </c>
      <c r="E16" s="27">
        <f>MIN(D16/계산기!$C$19,계산기!$C$21)</f>
        <v/>
      </c>
      <c r="F16">
        <f>IF(B16&lt;=E16,1,0)</f>
        <v/>
      </c>
    </row>
    <row r="17">
      <c r="A17" s="26" t="n">
        <v>0.08500000000000001</v>
      </c>
      <c r="B17" s="27">
        <f>계산기!$C$7*계산기!$C$8/A17</f>
        <v/>
      </c>
      <c r="C17" s="27">
        <f>PI()^2*계산기!$C$23/(12*(1-계산기!$C$18^2))*(A17/(계산기!$C$11*계산기!$C$10))^2</f>
        <v/>
      </c>
      <c r="D17" s="27">
        <f>IF(C17&lt;=계산기!$C$22/2,C17,계산기!$C$22*(1-계산기!$C$22/(4*C17)))</f>
        <v/>
      </c>
      <c r="E17" s="27">
        <f>MIN(D17/계산기!$C$19,계산기!$C$21)</f>
        <v/>
      </c>
      <c r="F17">
        <f>IF(B17&lt;=E17,1,0)</f>
        <v/>
      </c>
    </row>
    <row r="18">
      <c r="A18" s="26" t="n">
        <v>0.09</v>
      </c>
      <c r="B18" s="27">
        <f>계산기!$C$7*계산기!$C$8/A18</f>
        <v/>
      </c>
      <c r="C18" s="27">
        <f>PI()^2*계산기!$C$23/(12*(1-계산기!$C$18^2))*(A18/(계산기!$C$11*계산기!$C$10))^2</f>
        <v/>
      </c>
      <c r="D18" s="27">
        <f>IF(C18&lt;=계산기!$C$22/2,C18,계산기!$C$22*(1-계산기!$C$22/(4*C18)))</f>
        <v/>
      </c>
      <c r="E18" s="27">
        <f>MIN(D18/계산기!$C$19,계산기!$C$21)</f>
        <v/>
      </c>
      <c r="F18">
        <f>IF(B18&lt;=E18,1,0)</f>
        <v/>
      </c>
    </row>
    <row r="19">
      <c r="A19" s="26" t="n">
        <v>0.095</v>
      </c>
      <c r="B19" s="27">
        <f>계산기!$C$7*계산기!$C$8/A19</f>
        <v/>
      </c>
      <c r="C19" s="27">
        <f>PI()^2*계산기!$C$23/(12*(1-계산기!$C$18^2))*(A19/(계산기!$C$11*계산기!$C$10))^2</f>
        <v/>
      </c>
      <c r="D19" s="27">
        <f>IF(C19&lt;=계산기!$C$22/2,C19,계산기!$C$22*(1-계산기!$C$22/(4*C19)))</f>
        <v/>
      </c>
      <c r="E19" s="27">
        <f>MIN(D19/계산기!$C$19,계산기!$C$21)</f>
        <v/>
      </c>
      <c r="F19">
        <f>IF(B19&lt;=E19,1,0)</f>
        <v/>
      </c>
    </row>
    <row r="20">
      <c r="A20" s="26" t="n">
        <v>0.1</v>
      </c>
      <c r="B20" s="27">
        <f>계산기!$C$7*계산기!$C$8/A20</f>
        <v/>
      </c>
      <c r="C20" s="27">
        <f>PI()^2*계산기!$C$23/(12*(1-계산기!$C$18^2))*(A20/(계산기!$C$11*계산기!$C$10))^2</f>
        <v/>
      </c>
      <c r="D20" s="27">
        <f>IF(C20&lt;=계산기!$C$22/2,C20,계산기!$C$22*(1-계산기!$C$22/(4*C20)))</f>
        <v/>
      </c>
      <c r="E20" s="27">
        <f>MIN(D20/계산기!$C$19,계산기!$C$21)</f>
        <v/>
      </c>
      <c r="F20">
        <f>IF(B20&lt;=E20,1,0)</f>
        <v/>
      </c>
    </row>
    <row r="21">
      <c r="A21" s="26" t="n">
        <v>0.105</v>
      </c>
      <c r="B21" s="27">
        <f>계산기!$C$7*계산기!$C$8/A21</f>
        <v/>
      </c>
      <c r="C21" s="27">
        <f>PI()^2*계산기!$C$23/(12*(1-계산기!$C$18^2))*(A21/(계산기!$C$11*계산기!$C$10))^2</f>
        <v/>
      </c>
      <c r="D21" s="27">
        <f>IF(C21&lt;=계산기!$C$22/2,C21,계산기!$C$22*(1-계산기!$C$22/(4*C21)))</f>
        <v/>
      </c>
      <c r="E21" s="27">
        <f>MIN(D21/계산기!$C$19,계산기!$C$21)</f>
        <v/>
      </c>
      <c r="F21">
        <f>IF(B21&lt;=E21,1,0)</f>
        <v/>
      </c>
    </row>
    <row r="22">
      <c r="A22" s="26" t="n">
        <v>0.11</v>
      </c>
      <c r="B22" s="27">
        <f>계산기!$C$7*계산기!$C$8/A22</f>
        <v/>
      </c>
      <c r="C22" s="27">
        <f>PI()^2*계산기!$C$23/(12*(1-계산기!$C$18^2))*(A22/(계산기!$C$11*계산기!$C$10))^2</f>
        <v/>
      </c>
      <c r="D22" s="27">
        <f>IF(C22&lt;=계산기!$C$22/2,C22,계산기!$C$22*(1-계산기!$C$22/(4*C22)))</f>
        <v/>
      </c>
      <c r="E22" s="27">
        <f>MIN(D22/계산기!$C$19,계산기!$C$21)</f>
        <v/>
      </c>
      <c r="F22">
        <f>IF(B22&lt;=E22,1,0)</f>
        <v/>
      </c>
    </row>
    <row r="23">
      <c r="A23" s="26" t="n">
        <v>0.115</v>
      </c>
      <c r="B23" s="27">
        <f>계산기!$C$7*계산기!$C$8/A23</f>
        <v/>
      </c>
      <c r="C23" s="27">
        <f>PI()^2*계산기!$C$23/(12*(1-계산기!$C$18^2))*(A23/(계산기!$C$11*계산기!$C$10))^2</f>
        <v/>
      </c>
      <c r="D23" s="27">
        <f>IF(C23&lt;=계산기!$C$22/2,C23,계산기!$C$22*(1-계산기!$C$22/(4*C23)))</f>
        <v/>
      </c>
      <c r="E23" s="27">
        <f>MIN(D23/계산기!$C$19,계산기!$C$21)</f>
        <v/>
      </c>
      <c r="F23">
        <f>IF(B23&lt;=E23,1,0)</f>
        <v/>
      </c>
    </row>
    <row r="24">
      <c r="A24" s="26" t="n">
        <v>0.12</v>
      </c>
      <c r="B24" s="27">
        <f>계산기!$C$7*계산기!$C$8/A24</f>
        <v/>
      </c>
      <c r="C24" s="27">
        <f>PI()^2*계산기!$C$23/(12*(1-계산기!$C$18^2))*(A24/(계산기!$C$11*계산기!$C$10))^2</f>
        <v/>
      </c>
      <c r="D24" s="27">
        <f>IF(C24&lt;=계산기!$C$22/2,C24,계산기!$C$22*(1-계산기!$C$22/(4*C24)))</f>
        <v/>
      </c>
      <c r="E24" s="27">
        <f>MIN(D24/계산기!$C$19,계산기!$C$21)</f>
        <v/>
      </c>
      <c r="F24">
        <f>IF(B24&lt;=E24,1,0)</f>
        <v/>
      </c>
    </row>
    <row r="25">
      <c r="A25" s="26" t="n">
        <v>0.125</v>
      </c>
      <c r="B25" s="27">
        <f>계산기!$C$7*계산기!$C$8/A25</f>
        <v/>
      </c>
      <c r="C25" s="27">
        <f>PI()^2*계산기!$C$23/(12*(1-계산기!$C$18^2))*(A25/(계산기!$C$11*계산기!$C$10))^2</f>
        <v/>
      </c>
      <c r="D25" s="27">
        <f>IF(C25&lt;=계산기!$C$22/2,C25,계산기!$C$22*(1-계산기!$C$22/(4*C25)))</f>
        <v/>
      </c>
      <c r="E25" s="27">
        <f>MIN(D25/계산기!$C$19,계산기!$C$21)</f>
        <v/>
      </c>
      <c r="F25">
        <f>IF(B25&lt;=E25,1,0)</f>
        <v/>
      </c>
    </row>
    <row r="26">
      <c r="A26" s="26" t="n">
        <v>0.13</v>
      </c>
      <c r="B26" s="27">
        <f>계산기!$C$7*계산기!$C$8/A26</f>
        <v/>
      </c>
      <c r="C26" s="27">
        <f>PI()^2*계산기!$C$23/(12*(1-계산기!$C$18^2))*(A26/(계산기!$C$11*계산기!$C$10))^2</f>
        <v/>
      </c>
      <c r="D26" s="27">
        <f>IF(C26&lt;=계산기!$C$22/2,C26,계산기!$C$22*(1-계산기!$C$22/(4*C26)))</f>
        <v/>
      </c>
      <c r="E26" s="27">
        <f>MIN(D26/계산기!$C$19,계산기!$C$21)</f>
        <v/>
      </c>
      <c r="F26">
        <f>IF(B26&lt;=E26,1,0)</f>
        <v/>
      </c>
    </row>
    <row r="27">
      <c r="A27" s="26" t="n">
        <v>0.135</v>
      </c>
      <c r="B27" s="27">
        <f>계산기!$C$7*계산기!$C$8/A27</f>
        <v/>
      </c>
      <c r="C27" s="27">
        <f>PI()^2*계산기!$C$23/(12*(1-계산기!$C$18^2))*(A27/(계산기!$C$11*계산기!$C$10))^2</f>
        <v/>
      </c>
      <c r="D27" s="27">
        <f>IF(C27&lt;=계산기!$C$22/2,C27,계산기!$C$22*(1-계산기!$C$22/(4*C27)))</f>
        <v/>
      </c>
      <c r="E27" s="27">
        <f>MIN(D27/계산기!$C$19,계산기!$C$21)</f>
        <v/>
      </c>
      <c r="F27">
        <f>IF(B27&lt;=E27,1,0)</f>
        <v/>
      </c>
    </row>
    <row r="28">
      <c r="A28" s="26" t="n">
        <v>0.14</v>
      </c>
      <c r="B28" s="27">
        <f>계산기!$C$7*계산기!$C$8/A28</f>
        <v/>
      </c>
      <c r="C28" s="27">
        <f>PI()^2*계산기!$C$23/(12*(1-계산기!$C$18^2))*(A28/(계산기!$C$11*계산기!$C$10))^2</f>
        <v/>
      </c>
      <c r="D28" s="27">
        <f>IF(C28&lt;=계산기!$C$22/2,C28,계산기!$C$22*(1-계산기!$C$22/(4*C28)))</f>
        <v/>
      </c>
      <c r="E28" s="27">
        <f>MIN(D28/계산기!$C$19,계산기!$C$21)</f>
        <v/>
      </c>
      <c r="F28">
        <f>IF(B28&lt;=E28,1,0)</f>
        <v/>
      </c>
    </row>
    <row r="29">
      <c r="A29" s="26" t="n">
        <v>0.145</v>
      </c>
      <c r="B29" s="27">
        <f>계산기!$C$7*계산기!$C$8/A29</f>
        <v/>
      </c>
      <c r="C29" s="27">
        <f>PI()^2*계산기!$C$23/(12*(1-계산기!$C$18^2))*(A29/(계산기!$C$11*계산기!$C$10))^2</f>
        <v/>
      </c>
      <c r="D29" s="27">
        <f>IF(C29&lt;=계산기!$C$22/2,C29,계산기!$C$22*(1-계산기!$C$22/(4*C29)))</f>
        <v/>
      </c>
      <c r="E29" s="27">
        <f>MIN(D29/계산기!$C$19,계산기!$C$21)</f>
        <v/>
      </c>
      <c r="F29">
        <f>IF(B29&lt;=E29,1,0)</f>
        <v/>
      </c>
    </row>
    <row r="30">
      <c r="A30" s="26" t="n">
        <v>0.15</v>
      </c>
      <c r="B30" s="27">
        <f>계산기!$C$7*계산기!$C$8/A30</f>
        <v/>
      </c>
      <c r="C30" s="27">
        <f>PI()^2*계산기!$C$23/(12*(1-계산기!$C$18^2))*(A30/(계산기!$C$11*계산기!$C$10))^2</f>
        <v/>
      </c>
      <c r="D30" s="27">
        <f>IF(C30&lt;=계산기!$C$22/2,C30,계산기!$C$22*(1-계산기!$C$22/(4*C30)))</f>
        <v/>
      </c>
      <c r="E30" s="27">
        <f>MIN(D30/계산기!$C$19,계산기!$C$21)</f>
        <v/>
      </c>
      <c r="F30">
        <f>IF(B30&lt;=E30,1,0)</f>
        <v/>
      </c>
    </row>
    <row r="31">
      <c r="A31" s="26" t="n">
        <v>0.155</v>
      </c>
      <c r="B31" s="27">
        <f>계산기!$C$7*계산기!$C$8/A31</f>
        <v/>
      </c>
      <c r="C31" s="27">
        <f>PI()^2*계산기!$C$23/(12*(1-계산기!$C$18^2))*(A31/(계산기!$C$11*계산기!$C$10))^2</f>
        <v/>
      </c>
      <c r="D31" s="27">
        <f>IF(C31&lt;=계산기!$C$22/2,C31,계산기!$C$22*(1-계산기!$C$22/(4*C31)))</f>
        <v/>
      </c>
      <c r="E31" s="27">
        <f>MIN(D31/계산기!$C$19,계산기!$C$21)</f>
        <v/>
      </c>
      <c r="F31">
        <f>IF(B31&lt;=E31,1,0)</f>
        <v/>
      </c>
    </row>
    <row r="32">
      <c r="A32" s="26" t="n">
        <v>0.16</v>
      </c>
      <c r="B32" s="27">
        <f>계산기!$C$7*계산기!$C$8/A32</f>
        <v/>
      </c>
      <c r="C32" s="27">
        <f>PI()^2*계산기!$C$23/(12*(1-계산기!$C$18^2))*(A32/(계산기!$C$11*계산기!$C$10))^2</f>
        <v/>
      </c>
      <c r="D32" s="27">
        <f>IF(C32&lt;=계산기!$C$22/2,C32,계산기!$C$22*(1-계산기!$C$22/(4*C32)))</f>
        <v/>
      </c>
      <c r="E32" s="27">
        <f>MIN(D32/계산기!$C$19,계산기!$C$21)</f>
        <v/>
      </c>
      <c r="F32">
        <f>IF(B32&lt;=E32,1,0)</f>
        <v/>
      </c>
    </row>
    <row r="33">
      <c r="A33" s="26" t="n">
        <v>0.165</v>
      </c>
      <c r="B33" s="27">
        <f>계산기!$C$7*계산기!$C$8/A33</f>
        <v/>
      </c>
      <c r="C33" s="27">
        <f>PI()^2*계산기!$C$23/(12*(1-계산기!$C$18^2))*(A33/(계산기!$C$11*계산기!$C$10))^2</f>
        <v/>
      </c>
      <c r="D33" s="27">
        <f>IF(C33&lt;=계산기!$C$22/2,C33,계산기!$C$22*(1-계산기!$C$22/(4*C33)))</f>
        <v/>
      </c>
      <c r="E33" s="27">
        <f>MIN(D33/계산기!$C$19,계산기!$C$21)</f>
        <v/>
      </c>
      <c r="F33">
        <f>IF(B33&lt;=E33,1,0)</f>
        <v/>
      </c>
    </row>
    <row r="34">
      <c r="A34" s="26" t="n">
        <v>0.17</v>
      </c>
      <c r="B34" s="27">
        <f>계산기!$C$7*계산기!$C$8/A34</f>
        <v/>
      </c>
      <c r="C34" s="27">
        <f>PI()^2*계산기!$C$23/(12*(1-계산기!$C$18^2))*(A34/(계산기!$C$11*계산기!$C$10))^2</f>
        <v/>
      </c>
      <c r="D34" s="27">
        <f>IF(C34&lt;=계산기!$C$22/2,C34,계산기!$C$22*(1-계산기!$C$22/(4*C34)))</f>
        <v/>
      </c>
      <c r="E34" s="27">
        <f>MIN(D34/계산기!$C$19,계산기!$C$21)</f>
        <v/>
      </c>
      <c r="F34">
        <f>IF(B34&lt;=E34,1,0)</f>
        <v/>
      </c>
    </row>
    <row r="35">
      <c r="A35" s="26" t="n">
        <v>0.175</v>
      </c>
      <c r="B35" s="27">
        <f>계산기!$C$7*계산기!$C$8/A35</f>
        <v/>
      </c>
      <c r="C35" s="27">
        <f>PI()^2*계산기!$C$23/(12*(1-계산기!$C$18^2))*(A35/(계산기!$C$11*계산기!$C$10))^2</f>
        <v/>
      </c>
      <c r="D35" s="27">
        <f>IF(C35&lt;=계산기!$C$22/2,C35,계산기!$C$22*(1-계산기!$C$22/(4*C35)))</f>
        <v/>
      </c>
      <c r="E35" s="27">
        <f>MIN(D35/계산기!$C$19,계산기!$C$21)</f>
        <v/>
      </c>
      <c r="F35">
        <f>IF(B35&lt;=E35,1,0)</f>
        <v/>
      </c>
    </row>
    <row r="36">
      <c r="A36" s="26" t="n">
        <v>0.18</v>
      </c>
      <c r="B36" s="27">
        <f>계산기!$C$7*계산기!$C$8/A36</f>
        <v/>
      </c>
      <c r="C36" s="27">
        <f>PI()^2*계산기!$C$23/(12*(1-계산기!$C$18^2))*(A36/(계산기!$C$11*계산기!$C$10))^2</f>
        <v/>
      </c>
      <c r="D36" s="27">
        <f>IF(C36&lt;=계산기!$C$22/2,C36,계산기!$C$22*(1-계산기!$C$22/(4*C36)))</f>
        <v/>
      </c>
      <c r="E36" s="27">
        <f>MIN(D36/계산기!$C$19,계산기!$C$21)</f>
        <v/>
      </c>
      <c r="F36">
        <f>IF(B36&lt;=E36,1,0)</f>
        <v/>
      </c>
    </row>
    <row r="37">
      <c r="A37" s="26" t="n">
        <v>0.185</v>
      </c>
      <c r="B37" s="27">
        <f>계산기!$C$7*계산기!$C$8/A37</f>
        <v/>
      </c>
      <c r="C37" s="27">
        <f>PI()^2*계산기!$C$23/(12*(1-계산기!$C$18^2))*(A37/(계산기!$C$11*계산기!$C$10))^2</f>
        <v/>
      </c>
      <c r="D37" s="27">
        <f>IF(C37&lt;=계산기!$C$22/2,C37,계산기!$C$22*(1-계산기!$C$22/(4*C37)))</f>
        <v/>
      </c>
      <c r="E37" s="27">
        <f>MIN(D37/계산기!$C$19,계산기!$C$21)</f>
        <v/>
      </c>
      <c r="F37">
        <f>IF(B37&lt;=E37,1,0)</f>
        <v/>
      </c>
    </row>
    <row r="38">
      <c r="A38" s="26" t="n">
        <v>0.19</v>
      </c>
      <c r="B38" s="27">
        <f>계산기!$C$7*계산기!$C$8/A38</f>
        <v/>
      </c>
      <c r="C38" s="27">
        <f>PI()^2*계산기!$C$23/(12*(1-계산기!$C$18^2))*(A38/(계산기!$C$11*계산기!$C$10))^2</f>
        <v/>
      </c>
      <c r="D38" s="27">
        <f>IF(C38&lt;=계산기!$C$22/2,C38,계산기!$C$22*(1-계산기!$C$22/(4*C38)))</f>
        <v/>
      </c>
      <c r="E38" s="27">
        <f>MIN(D38/계산기!$C$19,계산기!$C$21)</f>
        <v/>
      </c>
      <c r="F38">
        <f>IF(B38&lt;=E38,1,0)</f>
        <v/>
      </c>
    </row>
    <row r="39">
      <c r="A39" s="26" t="n">
        <v>0.195</v>
      </c>
      <c r="B39" s="27">
        <f>계산기!$C$7*계산기!$C$8/A39</f>
        <v/>
      </c>
      <c r="C39" s="27">
        <f>PI()^2*계산기!$C$23/(12*(1-계산기!$C$18^2))*(A39/(계산기!$C$11*계산기!$C$10))^2</f>
        <v/>
      </c>
      <c r="D39" s="27">
        <f>IF(C39&lt;=계산기!$C$22/2,C39,계산기!$C$22*(1-계산기!$C$22/(4*C39)))</f>
        <v/>
      </c>
      <c r="E39" s="27">
        <f>MIN(D39/계산기!$C$19,계산기!$C$21)</f>
        <v/>
      </c>
      <c r="F39">
        <f>IF(B39&lt;=E39,1,0)</f>
        <v/>
      </c>
    </row>
    <row r="40">
      <c r="A40" s="26" t="n">
        <v>0.2</v>
      </c>
      <c r="B40" s="27">
        <f>계산기!$C$7*계산기!$C$8/A40</f>
        <v/>
      </c>
      <c r="C40" s="27">
        <f>PI()^2*계산기!$C$23/(12*(1-계산기!$C$18^2))*(A40/(계산기!$C$11*계산기!$C$10))^2</f>
        <v/>
      </c>
      <c r="D40" s="27">
        <f>IF(C40&lt;=계산기!$C$22/2,C40,계산기!$C$22*(1-계산기!$C$22/(4*C40)))</f>
        <v/>
      </c>
      <c r="E40" s="27">
        <f>MIN(D40/계산기!$C$19,계산기!$C$21)</f>
        <v/>
      </c>
      <c r="F40">
        <f>IF(B40&lt;=E40,1,0)</f>
        <v/>
      </c>
    </row>
    <row r="41">
      <c r="A41" s="26" t="n">
        <v>0.205</v>
      </c>
      <c r="B41" s="27">
        <f>계산기!$C$7*계산기!$C$8/A41</f>
        <v/>
      </c>
      <c r="C41" s="27">
        <f>PI()^2*계산기!$C$23/(12*(1-계산기!$C$18^2))*(A41/(계산기!$C$11*계산기!$C$10))^2</f>
        <v/>
      </c>
      <c r="D41" s="27">
        <f>IF(C41&lt;=계산기!$C$22/2,C41,계산기!$C$22*(1-계산기!$C$22/(4*C41)))</f>
        <v/>
      </c>
      <c r="E41" s="27">
        <f>MIN(D41/계산기!$C$19,계산기!$C$21)</f>
        <v/>
      </c>
      <c r="F41">
        <f>IF(B41&lt;=E41,1,0)</f>
        <v/>
      </c>
    </row>
    <row r="42">
      <c r="A42" s="26" t="n">
        <v>0.21</v>
      </c>
      <c r="B42" s="27">
        <f>계산기!$C$7*계산기!$C$8/A42</f>
        <v/>
      </c>
      <c r="C42" s="27">
        <f>PI()^2*계산기!$C$23/(12*(1-계산기!$C$18^2))*(A42/(계산기!$C$11*계산기!$C$10))^2</f>
        <v/>
      </c>
      <c r="D42" s="27">
        <f>IF(C42&lt;=계산기!$C$22/2,C42,계산기!$C$22*(1-계산기!$C$22/(4*C42)))</f>
        <v/>
      </c>
      <c r="E42" s="27">
        <f>MIN(D42/계산기!$C$19,계산기!$C$21)</f>
        <v/>
      </c>
      <c r="F42">
        <f>IF(B42&lt;=E42,1,0)</f>
        <v/>
      </c>
    </row>
    <row r="43">
      <c r="A43" s="26" t="n">
        <v>0.215</v>
      </c>
      <c r="B43" s="27">
        <f>계산기!$C$7*계산기!$C$8/A43</f>
        <v/>
      </c>
      <c r="C43" s="27">
        <f>PI()^2*계산기!$C$23/(12*(1-계산기!$C$18^2))*(A43/(계산기!$C$11*계산기!$C$10))^2</f>
        <v/>
      </c>
      <c r="D43" s="27">
        <f>IF(C43&lt;=계산기!$C$22/2,C43,계산기!$C$22*(1-계산기!$C$22/(4*C43)))</f>
        <v/>
      </c>
      <c r="E43" s="27">
        <f>MIN(D43/계산기!$C$19,계산기!$C$21)</f>
        <v/>
      </c>
      <c r="F43">
        <f>IF(B43&lt;=E43,1,0)</f>
        <v/>
      </c>
    </row>
    <row r="44">
      <c r="A44" s="26" t="n">
        <v>0.22</v>
      </c>
      <c r="B44" s="27">
        <f>계산기!$C$7*계산기!$C$8/A44</f>
        <v/>
      </c>
      <c r="C44" s="27">
        <f>PI()^2*계산기!$C$23/(12*(1-계산기!$C$18^2))*(A44/(계산기!$C$11*계산기!$C$10))^2</f>
        <v/>
      </c>
      <c r="D44" s="27">
        <f>IF(C44&lt;=계산기!$C$22/2,C44,계산기!$C$22*(1-계산기!$C$22/(4*C44)))</f>
        <v/>
      </c>
      <c r="E44" s="27">
        <f>MIN(D44/계산기!$C$19,계산기!$C$21)</f>
        <v/>
      </c>
      <c r="F44">
        <f>IF(B44&lt;=E44,1,0)</f>
        <v/>
      </c>
    </row>
    <row r="45">
      <c r="A45" s="26" t="n">
        <v>0.225</v>
      </c>
      <c r="B45" s="27">
        <f>계산기!$C$7*계산기!$C$8/A45</f>
        <v/>
      </c>
      <c r="C45" s="27">
        <f>PI()^2*계산기!$C$23/(12*(1-계산기!$C$18^2))*(A45/(계산기!$C$11*계산기!$C$10))^2</f>
        <v/>
      </c>
      <c r="D45" s="27">
        <f>IF(C45&lt;=계산기!$C$22/2,C45,계산기!$C$22*(1-계산기!$C$22/(4*C45)))</f>
        <v/>
      </c>
      <c r="E45" s="27">
        <f>MIN(D45/계산기!$C$19,계산기!$C$21)</f>
        <v/>
      </c>
      <c r="F45">
        <f>IF(B45&lt;=E45,1,0)</f>
        <v/>
      </c>
    </row>
    <row r="46">
      <c r="A46" s="26" t="n">
        <v>0.23</v>
      </c>
      <c r="B46" s="27">
        <f>계산기!$C$7*계산기!$C$8/A46</f>
        <v/>
      </c>
      <c r="C46" s="27">
        <f>PI()^2*계산기!$C$23/(12*(1-계산기!$C$18^2))*(A46/(계산기!$C$11*계산기!$C$10))^2</f>
        <v/>
      </c>
      <c r="D46" s="27">
        <f>IF(C46&lt;=계산기!$C$22/2,C46,계산기!$C$22*(1-계산기!$C$22/(4*C46)))</f>
        <v/>
      </c>
      <c r="E46" s="27">
        <f>MIN(D46/계산기!$C$19,계산기!$C$21)</f>
        <v/>
      </c>
      <c r="F46">
        <f>IF(B46&lt;=E46,1,0)</f>
        <v/>
      </c>
    </row>
    <row r="47">
      <c r="A47" s="26" t="n">
        <v>0.235</v>
      </c>
      <c r="B47" s="27">
        <f>계산기!$C$7*계산기!$C$8/A47</f>
        <v/>
      </c>
      <c r="C47" s="27">
        <f>PI()^2*계산기!$C$23/(12*(1-계산기!$C$18^2))*(A47/(계산기!$C$11*계산기!$C$10))^2</f>
        <v/>
      </c>
      <c r="D47" s="27">
        <f>IF(C47&lt;=계산기!$C$22/2,C47,계산기!$C$22*(1-계산기!$C$22/(4*C47)))</f>
        <v/>
      </c>
      <c r="E47" s="27">
        <f>MIN(D47/계산기!$C$19,계산기!$C$21)</f>
        <v/>
      </c>
      <c r="F47">
        <f>IF(B47&lt;=E47,1,0)</f>
        <v/>
      </c>
    </row>
    <row r="48">
      <c r="A48" s="26" t="n">
        <v>0.24</v>
      </c>
      <c r="B48" s="27">
        <f>계산기!$C$7*계산기!$C$8/A48</f>
        <v/>
      </c>
      <c r="C48" s="27">
        <f>PI()^2*계산기!$C$23/(12*(1-계산기!$C$18^2))*(A48/(계산기!$C$11*계산기!$C$10))^2</f>
        <v/>
      </c>
      <c r="D48" s="27">
        <f>IF(C48&lt;=계산기!$C$22/2,C48,계산기!$C$22*(1-계산기!$C$22/(4*C48)))</f>
        <v/>
      </c>
      <c r="E48" s="27">
        <f>MIN(D48/계산기!$C$19,계산기!$C$21)</f>
        <v/>
      </c>
      <c r="F48">
        <f>IF(B48&lt;=E48,1,0)</f>
        <v/>
      </c>
    </row>
    <row r="49">
      <c r="A49" s="26" t="n">
        <v>0.245</v>
      </c>
      <c r="B49" s="27">
        <f>계산기!$C$7*계산기!$C$8/A49</f>
        <v/>
      </c>
      <c r="C49" s="27">
        <f>PI()^2*계산기!$C$23/(12*(1-계산기!$C$18^2))*(A49/(계산기!$C$11*계산기!$C$10))^2</f>
        <v/>
      </c>
      <c r="D49" s="27">
        <f>IF(C49&lt;=계산기!$C$22/2,C49,계산기!$C$22*(1-계산기!$C$22/(4*C49)))</f>
        <v/>
      </c>
      <c r="E49" s="27">
        <f>MIN(D49/계산기!$C$19,계산기!$C$21)</f>
        <v/>
      </c>
      <c r="F49">
        <f>IF(B49&lt;=E49,1,0)</f>
        <v/>
      </c>
    </row>
    <row r="50">
      <c r="A50" s="26" t="n">
        <v>0.25</v>
      </c>
      <c r="B50" s="27">
        <f>계산기!$C$7*계산기!$C$8/A50</f>
        <v/>
      </c>
      <c r="C50" s="27">
        <f>PI()^2*계산기!$C$23/(12*(1-계산기!$C$18^2))*(A50/(계산기!$C$11*계산기!$C$10))^2</f>
        <v/>
      </c>
      <c r="D50" s="27">
        <f>IF(C50&lt;=계산기!$C$22/2,C50,계산기!$C$22*(1-계산기!$C$22/(4*C50)))</f>
        <v/>
      </c>
      <c r="E50" s="27">
        <f>MIN(D50/계산기!$C$19,계산기!$C$21)</f>
        <v/>
      </c>
      <c r="F50">
        <f>IF(B50&lt;=E50,1,0)</f>
        <v/>
      </c>
    </row>
    <row r="51">
      <c r="A51" s="26" t="n">
        <v>0.255</v>
      </c>
      <c r="B51" s="27">
        <f>계산기!$C$7*계산기!$C$8/A51</f>
        <v/>
      </c>
      <c r="C51" s="27">
        <f>PI()^2*계산기!$C$23/(12*(1-계산기!$C$18^2))*(A51/(계산기!$C$11*계산기!$C$10))^2</f>
        <v/>
      </c>
      <c r="D51" s="27">
        <f>IF(C51&lt;=계산기!$C$22/2,C51,계산기!$C$22*(1-계산기!$C$22/(4*C51)))</f>
        <v/>
      </c>
      <c r="E51" s="27">
        <f>MIN(D51/계산기!$C$19,계산기!$C$21)</f>
        <v/>
      </c>
      <c r="F51">
        <f>IF(B51&lt;=E51,1,0)</f>
        <v/>
      </c>
    </row>
    <row r="52">
      <c r="A52" s="26" t="n">
        <v>0.26</v>
      </c>
      <c r="B52" s="27">
        <f>계산기!$C$7*계산기!$C$8/A52</f>
        <v/>
      </c>
      <c r="C52" s="27">
        <f>PI()^2*계산기!$C$23/(12*(1-계산기!$C$18^2))*(A52/(계산기!$C$11*계산기!$C$10))^2</f>
        <v/>
      </c>
      <c r="D52" s="27">
        <f>IF(C52&lt;=계산기!$C$22/2,C52,계산기!$C$22*(1-계산기!$C$22/(4*C52)))</f>
        <v/>
      </c>
      <c r="E52" s="27">
        <f>MIN(D52/계산기!$C$19,계산기!$C$21)</f>
        <v/>
      </c>
      <c r="F52">
        <f>IF(B52&lt;=E52,1,0)</f>
        <v/>
      </c>
    </row>
    <row r="53">
      <c r="A53" s="26" t="n">
        <v>0.265</v>
      </c>
      <c r="B53" s="27">
        <f>계산기!$C$7*계산기!$C$8/A53</f>
        <v/>
      </c>
      <c r="C53" s="27">
        <f>PI()^2*계산기!$C$23/(12*(1-계산기!$C$18^2))*(A53/(계산기!$C$11*계산기!$C$10))^2</f>
        <v/>
      </c>
      <c r="D53" s="27">
        <f>IF(C53&lt;=계산기!$C$22/2,C53,계산기!$C$22*(1-계산기!$C$22/(4*C53)))</f>
        <v/>
      </c>
      <c r="E53" s="27">
        <f>MIN(D53/계산기!$C$19,계산기!$C$21)</f>
        <v/>
      </c>
      <c r="F53">
        <f>IF(B53&lt;=E53,1,0)</f>
        <v/>
      </c>
    </row>
    <row r="54">
      <c r="A54" s="26" t="n">
        <v>0.27</v>
      </c>
      <c r="B54" s="27">
        <f>계산기!$C$7*계산기!$C$8/A54</f>
        <v/>
      </c>
      <c r="C54" s="27">
        <f>PI()^2*계산기!$C$23/(12*(1-계산기!$C$18^2))*(A54/(계산기!$C$11*계산기!$C$10))^2</f>
        <v/>
      </c>
      <c r="D54" s="27">
        <f>IF(C54&lt;=계산기!$C$22/2,C54,계산기!$C$22*(1-계산기!$C$22/(4*C54)))</f>
        <v/>
      </c>
      <c r="E54" s="27">
        <f>MIN(D54/계산기!$C$19,계산기!$C$21)</f>
        <v/>
      </c>
      <c r="F54">
        <f>IF(B54&lt;=E54,1,0)</f>
        <v/>
      </c>
    </row>
    <row r="55">
      <c r="A55" s="26" t="n">
        <v>0.275</v>
      </c>
      <c r="B55" s="27">
        <f>계산기!$C$7*계산기!$C$8/A55</f>
        <v/>
      </c>
      <c r="C55" s="27">
        <f>PI()^2*계산기!$C$23/(12*(1-계산기!$C$18^2))*(A55/(계산기!$C$11*계산기!$C$10))^2</f>
        <v/>
      </c>
      <c r="D55" s="27">
        <f>IF(C55&lt;=계산기!$C$22/2,C55,계산기!$C$22*(1-계산기!$C$22/(4*C55)))</f>
        <v/>
      </c>
      <c r="E55" s="27">
        <f>MIN(D55/계산기!$C$19,계산기!$C$21)</f>
        <v/>
      </c>
      <c r="F55">
        <f>IF(B55&lt;=E55,1,0)</f>
        <v/>
      </c>
    </row>
    <row r="56">
      <c r="A56" s="26" t="n">
        <v>0.28</v>
      </c>
      <c r="B56" s="27">
        <f>계산기!$C$7*계산기!$C$8/A56</f>
        <v/>
      </c>
      <c r="C56" s="27">
        <f>PI()^2*계산기!$C$23/(12*(1-계산기!$C$18^2))*(A56/(계산기!$C$11*계산기!$C$10))^2</f>
        <v/>
      </c>
      <c r="D56" s="27">
        <f>IF(C56&lt;=계산기!$C$22/2,C56,계산기!$C$22*(1-계산기!$C$22/(4*C56)))</f>
        <v/>
      </c>
      <c r="E56" s="27">
        <f>MIN(D56/계산기!$C$19,계산기!$C$21)</f>
        <v/>
      </c>
      <c r="F56">
        <f>IF(B56&lt;=E56,1,0)</f>
        <v/>
      </c>
    </row>
    <row r="57">
      <c r="A57" s="26" t="n">
        <v>0.285</v>
      </c>
      <c r="B57" s="27">
        <f>계산기!$C$7*계산기!$C$8/A57</f>
        <v/>
      </c>
      <c r="C57" s="27">
        <f>PI()^2*계산기!$C$23/(12*(1-계산기!$C$18^2))*(A57/(계산기!$C$11*계산기!$C$10))^2</f>
        <v/>
      </c>
      <c r="D57" s="27">
        <f>IF(C57&lt;=계산기!$C$22/2,C57,계산기!$C$22*(1-계산기!$C$22/(4*C57)))</f>
        <v/>
      </c>
      <c r="E57" s="27">
        <f>MIN(D57/계산기!$C$19,계산기!$C$21)</f>
        <v/>
      </c>
      <c r="F57">
        <f>IF(B57&lt;=E57,1,0)</f>
        <v/>
      </c>
    </row>
    <row r="58">
      <c r="A58" s="26" t="n">
        <v>0.29</v>
      </c>
      <c r="B58" s="27">
        <f>계산기!$C$7*계산기!$C$8/A58</f>
        <v/>
      </c>
      <c r="C58" s="27">
        <f>PI()^2*계산기!$C$23/(12*(1-계산기!$C$18^2))*(A58/(계산기!$C$11*계산기!$C$10))^2</f>
        <v/>
      </c>
      <c r="D58" s="27">
        <f>IF(C58&lt;=계산기!$C$22/2,C58,계산기!$C$22*(1-계산기!$C$22/(4*C58)))</f>
        <v/>
      </c>
      <c r="E58" s="27">
        <f>MIN(D58/계산기!$C$19,계산기!$C$21)</f>
        <v/>
      </c>
      <c r="F58">
        <f>IF(B58&lt;=E58,1,0)</f>
        <v/>
      </c>
    </row>
    <row r="59">
      <c r="A59" s="26" t="n">
        <v>0.295</v>
      </c>
      <c r="B59" s="27">
        <f>계산기!$C$7*계산기!$C$8/A59</f>
        <v/>
      </c>
      <c r="C59" s="27">
        <f>PI()^2*계산기!$C$23/(12*(1-계산기!$C$18^2))*(A59/(계산기!$C$11*계산기!$C$10))^2</f>
        <v/>
      </c>
      <c r="D59" s="27">
        <f>IF(C59&lt;=계산기!$C$22/2,C59,계산기!$C$22*(1-계산기!$C$22/(4*C59)))</f>
        <v/>
      </c>
      <c r="E59" s="27">
        <f>MIN(D59/계산기!$C$19,계산기!$C$21)</f>
        <v/>
      </c>
      <c r="F59">
        <f>IF(B59&lt;=E59,1,0)</f>
        <v/>
      </c>
    </row>
    <row r="60">
      <c r="A60" s="26" t="n">
        <v>0.3</v>
      </c>
      <c r="B60" s="27">
        <f>계산기!$C$7*계산기!$C$8/A60</f>
        <v/>
      </c>
      <c r="C60" s="27">
        <f>PI()^2*계산기!$C$23/(12*(1-계산기!$C$18^2))*(A60/(계산기!$C$11*계산기!$C$10))^2</f>
        <v/>
      </c>
      <c r="D60" s="27">
        <f>IF(C60&lt;=계산기!$C$22/2,C60,계산기!$C$22*(1-계산기!$C$22/(4*C60)))</f>
        <v/>
      </c>
      <c r="E60" s="27">
        <f>MIN(D60/계산기!$C$19,계산기!$C$21)</f>
        <v/>
      </c>
      <c r="F60">
        <f>IF(B60&lt;=E60,1,0)</f>
        <v/>
      </c>
    </row>
    <row r="61">
      <c r="A61" s="26" t="n">
        <v>0.305</v>
      </c>
      <c r="B61" s="27">
        <f>계산기!$C$7*계산기!$C$8/A61</f>
        <v/>
      </c>
      <c r="C61" s="27">
        <f>PI()^2*계산기!$C$23/(12*(1-계산기!$C$18^2))*(A61/(계산기!$C$11*계산기!$C$10))^2</f>
        <v/>
      </c>
      <c r="D61" s="27">
        <f>IF(C61&lt;=계산기!$C$22/2,C61,계산기!$C$22*(1-계산기!$C$22/(4*C61)))</f>
        <v/>
      </c>
      <c r="E61" s="27">
        <f>MIN(D61/계산기!$C$19,계산기!$C$21)</f>
        <v/>
      </c>
      <c r="F61">
        <f>IF(B61&lt;=E61,1,0)</f>
        <v/>
      </c>
    </row>
    <row r="62">
      <c r="A62" s="26" t="n">
        <v>0.31</v>
      </c>
      <c r="B62" s="27">
        <f>계산기!$C$7*계산기!$C$8/A62</f>
        <v/>
      </c>
      <c r="C62" s="27">
        <f>PI()^2*계산기!$C$23/(12*(1-계산기!$C$18^2))*(A62/(계산기!$C$11*계산기!$C$10))^2</f>
        <v/>
      </c>
      <c r="D62" s="27">
        <f>IF(C62&lt;=계산기!$C$22/2,C62,계산기!$C$22*(1-계산기!$C$22/(4*C62)))</f>
        <v/>
      </c>
      <c r="E62" s="27">
        <f>MIN(D62/계산기!$C$19,계산기!$C$21)</f>
        <v/>
      </c>
      <c r="F62">
        <f>IF(B62&lt;=E62,1,0)</f>
        <v/>
      </c>
    </row>
    <row r="63">
      <c r="A63" s="26" t="n">
        <v>0.315</v>
      </c>
      <c r="B63" s="27">
        <f>계산기!$C$7*계산기!$C$8/A63</f>
        <v/>
      </c>
      <c r="C63" s="27">
        <f>PI()^2*계산기!$C$23/(12*(1-계산기!$C$18^2))*(A63/(계산기!$C$11*계산기!$C$10))^2</f>
        <v/>
      </c>
      <c r="D63" s="27">
        <f>IF(C63&lt;=계산기!$C$22/2,C63,계산기!$C$22*(1-계산기!$C$22/(4*C63)))</f>
        <v/>
      </c>
      <c r="E63" s="27">
        <f>MIN(D63/계산기!$C$19,계산기!$C$21)</f>
        <v/>
      </c>
      <c r="F63">
        <f>IF(B63&lt;=E63,1,0)</f>
        <v/>
      </c>
    </row>
    <row r="64">
      <c r="A64" s="26" t="n">
        <v>0.32</v>
      </c>
      <c r="B64" s="27">
        <f>계산기!$C$7*계산기!$C$8/A64</f>
        <v/>
      </c>
      <c r="C64" s="27">
        <f>PI()^2*계산기!$C$23/(12*(1-계산기!$C$18^2))*(A64/(계산기!$C$11*계산기!$C$10))^2</f>
        <v/>
      </c>
      <c r="D64" s="27">
        <f>IF(C64&lt;=계산기!$C$22/2,C64,계산기!$C$22*(1-계산기!$C$22/(4*C64)))</f>
        <v/>
      </c>
      <c r="E64" s="27">
        <f>MIN(D64/계산기!$C$19,계산기!$C$21)</f>
        <v/>
      </c>
      <c r="F64">
        <f>IF(B64&lt;=E64,1,0)</f>
        <v/>
      </c>
    </row>
    <row r="65">
      <c r="A65" s="26" t="n">
        <v>0.325</v>
      </c>
      <c r="B65" s="27">
        <f>계산기!$C$7*계산기!$C$8/A65</f>
        <v/>
      </c>
      <c r="C65" s="27">
        <f>PI()^2*계산기!$C$23/(12*(1-계산기!$C$18^2))*(A65/(계산기!$C$11*계산기!$C$10))^2</f>
        <v/>
      </c>
      <c r="D65" s="27">
        <f>IF(C65&lt;=계산기!$C$22/2,C65,계산기!$C$22*(1-계산기!$C$22/(4*C65)))</f>
        <v/>
      </c>
      <c r="E65" s="27">
        <f>MIN(D65/계산기!$C$19,계산기!$C$21)</f>
        <v/>
      </c>
      <c r="F65">
        <f>IF(B65&lt;=E65,1,0)</f>
        <v/>
      </c>
    </row>
    <row r="66">
      <c r="A66" s="26" t="n">
        <v>0.33</v>
      </c>
      <c r="B66" s="27">
        <f>계산기!$C$7*계산기!$C$8/A66</f>
        <v/>
      </c>
      <c r="C66" s="27">
        <f>PI()^2*계산기!$C$23/(12*(1-계산기!$C$18^2))*(A66/(계산기!$C$11*계산기!$C$10))^2</f>
        <v/>
      </c>
      <c r="D66" s="27">
        <f>IF(C66&lt;=계산기!$C$22/2,C66,계산기!$C$22*(1-계산기!$C$22/(4*C66)))</f>
        <v/>
      </c>
      <c r="E66" s="27">
        <f>MIN(D66/계산기!$C$19,계산기!$C$21)</f>
        <v/>
      </c>
      <c r="F66">
        <f>IF(B66&lt;=E66,1,0)</f>
        <v/>
      </c>
    </row>
    <row r="67">
      <c r="A67" s="26" t="n">
        <v>0.335</v>
      </c>
      <c r="B67" s="27">
        <f>계산기!$C$7*계산기!$C$8/A67</f>
        <v/>
      </c>
      <c r="C67" s="27">
        <f>PI()^2*계산기!$C$23/(12*(1-계산기!$C$18^2))*(A67/(계산기!$C$11*계산기!$C$10))^2</f>
        <v/>
      </c>
      <c r="D67" s="27">
        <f>IF(C67&lt;=계산기!$C$22/2,C67,계산기!$C$22*(1-계산기!$C$22/(4*C67)))</f>
        <v/>
      </c>
      <c r="E67" s="27">
        <f>MIN(D67/계산기!$C$19,계산기!$C$21)</f>
        <v/>
      </c>
      <c r="F67">
        <f>IF(B67&lt;=E67,1,0)</f>
        <v/>
      </c>
    </row>
    <row r="68">
      <c r="A68" s="26" t="n">
        <v>0.34</v>
      </c>
      <c r="B68" s="27">
        <f>계산기!$C$7*계산기!$C$8/A68</f>
        <v/>
      </c>
      <c r="C68" s="27">
        <f>PI()^2*계산기!$C$23/(12*(1-계산기!$C$18^2))*(A68/(계산기!$C$11*계산기!$C$10))^2</f>
        <v/>
      </c>
      <c r="D68" s="27">
        <f>IF(C68&lt;=계산기!$C$22/2,C68,계산기!$C$22*(1-계산기!$C$22/(4*C68)))</f>
        <v/>
      </c>
      <c r="E68" s="27">
        <f>MIN(D68/계산기!$C$19,계산기!$C$21)</f>
        <v/>
      </c>
      <c r="F68">
        <f>IF(B68&lt;=E68,1,0)</f>
        <v/>
      </c>
    </row>
    <row r="69">
      <c r="A69" s="26" t="n">
        <v>0.345</v>
      </c>
      <c r="B69" s="27">
        <f>계산기!$C$7*계산기!$C$8/A69</f>
        <v/>
      </c>
      <c r="C69" s="27">
        <f>PI()^2*계산기!$C$23/(12*(1-계산기!$C$18^2))*(A69/(계산기!$C$11*계산기!$C$10))^2</f>
        <v/>
      </c>
      <c r="D69" s="27">
        <f>IF(C69&lt;=계산기!$C$22/2,C69,계산기!$C$22*(1-계산기!$C$22/(4*C69)))</f>
        <v/>
      </c>
      <c r="E69" s="27">
        <f>MIN(D69/계산기!$C$19,계산기!$C$21)</f>
        <v/>
      </c>
      <c r="F69">
        <f>IF(B69&lt;=E69,1,0)</f>
        <v/>
      </c>
    </row>
    <row r="70">
      <c r="A70" s="26" t="n">
        <v>0.35</v>
      </c>
      <c r="B70" s="27">
        <f>계산기!$C$7*계산기!$C$8/A70</f>
        <v/>
      </c>
      <c r="C70" s="27">
        <f>PI()^2*계산기!$C$23/(12*(1-계산기!$C$18^2))*(A70/(계산기!$C$11*계산기!$C$10))^2</f>
        <v/>
      </c>
      <c r="D70" s="27">
        <f>IF(C70&lt;=계산기!$C$22/2,C70,계산기!$C$22*(1-계산기!$C$22/(4*C70)))</f>
        <v/>
      </c>
      <c r="E70" s="27">
        <f>MIN(D70/계산기!$C$19,계산기!$C$21)</f>
        <v/>
      </c>
      <c r="F70">
        <f>IF(B70&lt;=E70,1,0)</f>
        <v/>
      </c>
    </row>
    <row r="71">
      <c r="A71" s="26" t="n">
        <v>0.355</v>
      </c>
      <c r="B71" s="27">
        <f>계산기!$C$7*계산기!$C$8/A71</f>
        <v/>
      </c>
      <c r="C71" s="27">
        <f>PI()^2*계산기!$C$23/(12*(1-계산기!$C$18^2))*(A71/(계산기!$C$11*계산기!$C$10))^2</f>
        <v/>
      </c>
      <c r="D71" s="27">
        <f>IF(C71&lt;=계산기!$C$22/2,C71,계산기!$C$22*(1-계산기!$C$22/(4*C71)))</f>
        <v/>
      </c>
      <c r="E71" s="27">
        <f>MIN(D71/계산기!$C$19,계산기!$C$21)</f>
        <v/>
      </c>
      <c r="F71">
        <f>IF(B71&lt;=E71,1,0)</f>
        <v/>
      </c>
    </row>
    <row r="72">
      <c r="A72" s="26" t="n">
        <v>0.36</v>
      </c>
      <c r="B72" s="27">
        <f>계산기!$C$7*계산기!$C$8/A72</f>
        <v/>
      </c>
      <c r="C72" s="27">
        <f>PI()^2*계산기!$C$23/(12*(1-계산기!$C$18^2))*(A72/(계산기!$C$11*계산기!$C$10))^2</f>
        <v/>
      </c>
      <c r="D72" s="27">
        <f>IF(C72&lt;=계산기!$C$22/2,C72,계산기!$C$22*(1-계산기!$C$22/(4*C72)))</f>
        <v/>
      </c>
      <c r="E72" s="27">
        <f>MIN(D72/계산기!$C$19,계산기!$C$21)</f>
        <v/>
      </c>
      <c r="F72">
        <f>IF(B72&lt;=E72,1,0)</f>
        <v/>
      </c>
    </row>
    <row r="73">
      <c r="A73" s="26" t="n">
        <v>0.365</v>
      </c>
      <c r="B73" s="27">
        <f>계산기!$C$7*계산기!$C$8/A73</f>
        <v/>
      </c>
      <c r="C73" s="27">
        <f>PI()^2*계산기!$C$23/(12*(1-계산기!$C$18^2))*(A73/(계산기!$C$11*계산기!$C$10))^2</f>
        <v/>
      </c>
      <c r="D73" s="27">
        <f>IF(C73&lt;=계산기!$C$22/2,C73,계산기!$C$22*(1-계산기!$C$22/(4*C73)))</f>
        <v/>
      </c>
      <c r="E73" s="27">
        <f>MIN(D73/계산기!$C$19,계산기!$C$21)</f>
        <v/>
      </c>
      <c r="F73">
        <f>IF(B73&lt;=E73,1,0)</f>
        <v/>
      </c>
    </row>
    <row r="74">
      <c r="A74" s="26" t="n">
        <v>0.37</v>
      </c>
      <c r="B74" s="27">
        <f>계산기!$C$7*계산기!$C$8/A74</f>
        <v/>
      </c>
      <c r="C74" s="27">
        <f>PI()^2*계산기!$C$23/(12*(1-계산기!$C$18^2))*(A74/(계산기!$C$11*계산기!$C$10))^2</f>
        <v/>
      </c>
      <c r="D74" s="27">
        <f>IF(C74&lt;=계산기!$C$22/2,C74,계산기!$C$22*(1-계산기!$C$22/(4*C74)))</f>
        <v/>
      </c>
      <c r="E74" s="27">
        <f>MIN(D74/계산기!$C$19,계산기!$C$21)</f>
        <v/>
      </c>
      <c r="F74">
        <f>IF(B74&lt;=E74,1,0)</f>
        <v/>
      </c>
    </row>
    <row r="75">
      <c r="A75" s="26" t="n">
        <v>0.375</v>
      </c>
      <c r="B75" s="27">
        <f>계산기!$C$7*계산기!$C$8/A75</f>
        <v/>
      </c>
      <c r="C75" s="27">
        <f>PI()^2*계산기!$C$23/(12*(1-계산기!$C$18^2))*(A75/(계산기!$C$11*계산기!$C$10))^2</f>
        <v/>
      </c>
      <c r="D75" s="27">
        <f>IF(C75&lt;=계산기!$C$22/2,C75,계산기!$C$22*(1-계산기!$C$22/(4*C75)))</f>
        <v/>
      </c>
      <c r="E75" s="27">
        <f>MIN(D75/계산기!$C$19,계산기!$C$21)</f>
        <v/>
      </c>
      <c r="F75">
        <f>IF(B75&lt;=E75,1,0)</f>
        <v/>
      </c>
    </row>
    <row r="76">
      <c r="A76" s="26" t="n">
        <v>0.38</v>
      </c>
      <c r="B76" s="27">
        <f>계산기!$C$7*계산기!$C$8/A76</f>
        <v/>
      </c>
      <c r="C76" s="27">
        <f>PI()^2*계산기!$C$23/(12*(1-계산기!$C$18^2))*(A76/(계산기!$C$11*계산기!$C$10))^2</f>
        <v/>
      </c>
      <c r="D76" s="27">
        <f>IF(C76&lt;=계산기!$C$22/2,C76,계산기!$C$22*(1-계산기!$C$22/(4*C76)))</f>
        <v/>
      </c>
      <c r="E76" s="27">
        <f>MIN(D76/계산기!$C$19,계산기!$C$21)</f>
        <v/>
      </c>
      <c r="F76">
        <f>IF(B76&lt;=E76,1,0)</f>
        <v/>
      </c>
    </row>
    <row r="77">
      <c r="A77" s="26" t="n">
        <v>0.385</v>
      </c>
      <c r="B77" s="27">
        <f>계산기!$C$7*계산기!$C$8/A77</f>
        <v/>
      </c>
      <c r="C77" s="27">
        <f>PI()^2*계산기!$C$23/(12*(1-계산기!$C$18^2))*(A77/(계산기!$C$11*계산기!$C$10))^2</f>
        <v/>
      </c>
      <c r="D77" s="27">
        <f>IF(C77&lt;=계산기!$C$22/2,C77,계산기!$C$22*(1-계산기!$C$22/(4*C77)))</f>
        <v/>
      </c>
      <c r="E77" s="27">
        <f>MIN(D77/계산기!$C$19,계산기!$C$21)</f>
        <v/>
      </c>
      <c r="F77">
        <f>IF(B77&lt;=E77,1,0)</f>
        <v/>
      </c>
    </row>
    <row r="78">
      <c r="A78" s="26" t="n">
        <v>0.39</v>
      </c>
      <c r="B78" s="27">
        <f>계산기!$C$7*계산기!$C$8/A78</f>
        <v/>
      </c>
      <c r="C78" s="27">
        <f>PI()^2*계산기!$C$23/(12*(1-계산기!$C$18^2))*(A78/(계산기!$C$11*계산기!$C$10))^2</f>
        <v/>
      </c>
      <c r="D78" s="27">
        <f>IF(C78&lt;=계산기!$C$22/2,C78,계산기!$C$22*(1-계산기!$C$22/(4*C78)))</f>
        <v/>
      </c>
      <c r="E78" s="27">
        <f>MIN(D78/계산기!$C$19,계산기!$C$21)</f>
        <v/>
      </c>
      <c r="F78">
        <f>IF(B78&lt;=E78,1,0)</f>
        <v/>
      </c>
    </row>
    <row r="79">
      <c r="A79" s="26" t="n">
        <v>0.395</v>
      </c>
      <c r="B79" s="27">
        <f>계산기!$C$7*계산기!$C$8/A79</f>
        <v/>
      </c>
      <c r="C79" s="27">
        <f>PI()^2*계산기!$C$23/(12*(1-계산기!$C$18^2))*(A79/(계산기!$C$11*계산기!$C$10))^2</f>
        <v/>
      </c>
      <c r="D79" s="27">
        <f>IF(C79&lt;=계산기!$C$22/2,C79,계산기!$C$22*(1-계산기!$C$22/(4*C79)))</f>
        <v/>
      </c>
      <c r="E79" s="27">
        <f>MIN(D79/계산기!$C$19,계산기!$C$21)</f>
        <v/>
      </c>
      <c r="F79">
        <f>IF(B79&lt;=E79,1,0)</f>
        <v/>
      </c>
    </row>
    <row r="80">
      <c r="A80" s="26" t="n">
        <v>0.4</v>
      </c>
      <c r="B80" s="27">
        <f>계산기!$C$7*계산기!$C$8/A80</f>
        <v/>
      </c>
      <c r="C80" s="27">
        <f>PI()^2*계산기!$C$23/(12*(1-계산기!$C$18^2))*(A80/(계산기!$C$11*계산기!$C$10))^2</f>
        <v/>
      </c>
      <c r="D80" s="27">
        <f>IF(C80&lt;=계산기!$C$22/2,C80,계산기!$C$22*(1-계산기!$C$22/(4*C80)))</f>
        <v/>
      </c>
      <c r="E80" s="27">
        <f>MIN(D80/계산기!$C$19,계산기!$C$21)</f>
        <v/>
      </c>
      <c r="F80">
        <f>IF(B80&lt;=E80,1,0)</f>
        <v/>
      </c>
    </row>
    <row r="81">
      <c r="A81" s="26" t="n">
        <v>0.405</v>
      </c>
      <c r="B81" s="27">
        <f>계산기!$C$7*계산기!$C$8/A81</f>
        <v/>
      </c>
      <c r="C81" s="27">
        <f>PI()^2*계산기!$C$23/(12*(1-계산기!$C$18^2))*(A81/(계산기!$C$11*계산기!$C$10))^2</f>
        <v/>
      </c>
      <c r="D81" s="27">
        <f>IF(C81&lt;=계산기!$C$22/2,C81,계산기!$C$22*(1-계산기!$C$22/(4*C81)))</f>
        <v/>
      </c>
      <c r="E81" s="27">
        <f>MIN(D81/계산기!$C$19,계산기!$C$21)</f>
        <v/>
      </c>
      <c r="F81">
        <f>IF(B81&lt;=E81,1,0)</f>
        <v/>
      </c>
    </row>
    <row r="82">
      <c r="A82" s="26" t="n">
        <v>0.41</v>
      </c>
      <c r="B82" s="27">
        <f>계산기!$C$7*계산기!$C$8/A82</f>
        <v/>
      </c>
      <c r="C82" s="27">
        <f>PI()^2*계산기!$C$23/(12*(1-계산기!$C$18^2))*(A82/(계산기!$C$11*계산기!$C$10))^2</f>
        <v/>
      </c>
      <c r="D82" s="27">
        <f>IF(C82&lt;=계산기!$C$22/2,C82,계산기!$C$22*(1-계산기!$C$22/(4*C82)))</f>
        <v/>
      </c>
      <c r="E82" s="27">
        <f>MIN(D82/계산기!$C$19,계산기!$C$21)</f>
        <v/>
      </c>
      <c r="F82">
        <f>IF(B82&lt;=E82,1,0)</f>
        <v/>
      </c>
    </row>
    <row r="83">
      <c r="A83" s="26" t="n">
        <v>0.415</v>
      </c>
      <c r="B83" s="27">
        <f>계산기!$C$7*계산기!$C$8/A83</f>
        <v/>
      </c>
      <c r="C83" s="27">
        <f>PI()^2*계산기!$C$23/(12*(1-계산기!$C$18^2))*(A83/(계산기!$C$11*계산기!$C$10))^2</f>
        <v/>
      </c>
      <c r="D83" s="27">
        <f>IF(C83&lt;=계산기!$C$22/2,C83,계산기!$C$22*(1-계산기!$C$22/(4*C83)))</f>
        <v/>
      </c>
      <c r="E83" s="27">
        <f>MIN(D83/계산기!$C$19,계산기!$C$21)</f>
        <v/>
      </c>
      <c r="F83">
        <f>IF(B83&lt;=E83,1,0)</f>
        <v/>
      </c>
    </row>
    <row r="84">
      <c r="A84" s="26" t="n">
        <v>0.42</v>
      </c>
      <c r="B84" s="27">
        <f>계산기!$C$7*계산기!$C$8/A84</f>
        <v/>
      </c>
      <c r="C84" s="27">
        <f>PI()^2*계산기!$C$23/(12*(1-계산기!$C$18^2))*(A84/(계산기!$C$11*계산기!$C$10))^2</f>
        <v/>
      </c>
      <c r="D84" s="27">
        <f>IF(C84&lt;=계산기!$C$22/2,C84,계산기!$C$22*(1-계산기!$C$22/(4*C84)))</f>
        <v/>
      </c>
      <c r="E84" s="27">
        <f>MIN(D84/계산기!$C$19,계산기!$C$21)</f>
        <v/>
      </c>
      <c r="F84">
        <f>IF(B84&lt;=E84,1,0)</f>
        <v/>
      </c>
    </row>
    <row r="85">
      <c r="A85" s="26" t="n">
        <v>0.425</v>
      </c>
      <c r="B85" s="27">
        <f>계산기!$C$7*계산기!$C$8/A85</f>
        <v/>
      </c>
      <c r="C85" s="27">
        <f>PI()^2*계산기!$C$23/(12*(1-계산기!$C$18^2))*(A85/(계산기!$C$11*계산기!$C$10))^2</f>
        <v/>
      </c>
      <c r="D85" s="27">
        <f>IF(C85&lt;=계산기!$C$22/2,C85,계산기!$C$22*(1-계산기!$C$22/(4*C85)))</f>
        <v/>
      </c>
      <c r="E85" s="27">
        <f>MIN(D85/계산기!$C$19,계산기!$C$21)</f>
        <v/>
      </c>
      <c r="F85">
        <f>IF(B85&lt;=E85,1,0)</f>
        <v/>
      </c>
    </row>
    <row r="86">
      <c r="A86" s="26" t="n">
        <v>0.43</v>
      </c>
      <c r="B86" s="27">
        <f>계산기!$C$7*계산기!$C$8/A86</f>
        <v/>
      </c>
      <c r="C86" s="27">
        <f>PI()^2*계산기!$C$23/(12*(1-계산기!$C$18^2))*(A86/(계산기!$C$11*계산기!$C$10))^2</f>
        <v/>
      </c>
      <c r="D86" s="27">
        <f>IF(C86&lt;=계산기!$C$22/2,C86,계산기!$C$22*(1-계산기!$C$22/(4*C86)))</f>
        <v/>
      </c>
      <c r="E86" s="27">
        <f>MIN(D86/계산기!$C$19,계산기!$C$21)</f>
        <v/>
      </c>
      <c r="F86">
        <f>IF(B86&lt;=E86,1,0)</f>
        <v/>
      </c>
    </row>
    <row r="87">
      <c r="A87" s="26" t="n">
        <v>0.435</v>
      </c>
      <c r="B87" s="27">
        <f>계산기!$C$7*계산기!$C$8/A87</f>
        <v/>
      </c>
      <c r="C87" s="27">
        <f>PI()^2*계산기!$C$23/(12*(1-계산기!$C$18^2))*(A87/(계산기!$C$11*계산기!$C$10))^2</f>
        <v/>
      </c>
      <c r="D87" s="27">
        <f>IF(C87&lt;=계산기!$C$22/2,C87,계산기!$C$22*(1-계산기!$C$22/(4*C87)))</f>
        <v/>
      </c>
      <c r="E87" s="27">
        <f>MIN(D87/계산기!$C$19,계산기!$C$21)</f>
        <v/>
      </c>
      <c r="F87">
        <f>IF(B87&lt;=E87,1,0)</f>
        <v/>
      </c>
    </row>
    <row r="88">
      <c r="A88" s="26" t="n">
        <v>0.44</v>
      </c>
      <c r="B88" s="27">
        <f>계산기!$C$7*계산기!$C$8/A88</f>
        <v/>
      </c>
      <c r="C88" s="27">
        <f>PI()^2*계산기!$C$23/(12*(1-계산기!$C$18^2))*(A88/(계산기!$C$11*계산기!$C$10))^2</f>
        <v/>
      </c>
      <c r="D88" s="27">
        <f>IF(C88&lt;=계산기!$C$22/2,C88,계산기!$C$22*(1-계산기!$C$22/(4*C88)))</f>
        <v/>
      </c>
      <c r="E88" s="27">
        <f>MIN(D88/계산기!$C$19,계산기!$C$21)</f>
        <v/>
      </c>
      <c r="F88">
        <f>IF(B88&lt;=E88,1,0)</f>
        <v/>
      </c>
    </row>
    <row r="89">
      <c r="A89" s="26" t="n">
        <v>0.445</v>
      </c>
      <c r="B89" s="27">
        <f>계산기!$C$7*계산기!$C$8/A89</f>
        <v/>
      </c>
      <c r="C89" s="27">
        <f>PI()^2*계산기!$C$23/(12*(1-계산기!$C$18^2))*(A89/(계산기!$C$11*계산기!$C$10))^2</f>
        <v/>
      </c>
      <c r="D89" s="27">
        <f>IF(C89&lt;=계산기!$C$22/2,C89,계산기!$C$22*(1-계산기!$C$22/(4*C89)))</f>
        <v/>
      </c>
      <c r="E89" s="27">
        <f>MIN(D89/계산기!$C$19,계산기!$C$21)</f>
        <v/>
      </c>
      <c r="F89">
        <f>IF(B89&lt;=E89,1,0)</f>
        <v/>
      </c>
    </row>
    <row r="90">
      <c r="A90" s="26" t="n">
        <v>0.45</v>
      </c>
      <c r="B90" s="27">
        <f>계산기!$C$7*계산기!$C$8/A90</f>
        <v/>
      </c>
      <c r="C90" s="27">
        <f>PI()^2*계산기!$C$23/(12*(1-계산기!$C$18^2))*(A90/(계산기!$C$11*계산기!$C$10))^2</f>
        <v/>
      </c>
      <c r="D90" s="27">
        <f>IF(C90&lt;=계산기!$C$22/2,C90,계산기!$C$22*(1-계산기!$C$22/(4*C90)))</f>
        <v/>
      </c>
      <c r="E90" s="27">
        <f>MIN(D90/계산기!$C$19,계산기!$C$21)</f>
        <v/>
      </c>
      <c r="F90">
        <f>IF(B90&lt;=E90,1,0)</f>
        <v/>
      </c>
    </row>
    <row r="91">
      <c r="A91" s="26" t="n">
        <v>0.455</v>
      </c>
      <c r="B91" s="27">
        <f>계산기!$C$7*계산기!$C$8/A91</f>
        <v/>
      </c>
      <c r="C91" s="27">
        <f>PI()^2*계산기!$C$23/(12*(1-계산기!$C$18^2))*(A91/(계산기!$C$11*계산기!$C$10))^2</f>
        <v/>
      </c>
      <c r="D91" s="27">
        <f>IF(C91&lt;=계산기!$C$22/2,C91,계산기!$C$22*(1-계산기!$C$22/(4*C91)))</f>
        <v/>
      </c>
      <c r="E91" s="27">
        <f>MIN(D91/계산기!$C$19,계산기!$C$21)</f>
        <v/>
      </c>
      <c r="F91">
        <f>IF(B91&lt;=E91,1,0)</f>
        <v/>
      </c>
    </row>
    <row r="92">
      <c r="A92" s="26" t="n">
        <v>0.46</v>
      </c>
      <c r="B92" s="27">
        <f>계산기!$C$7*계산기!$C$8/A92</f>
        <v/>
      </c>
      <c r="C92" s="27">
        <f>PI()^2*계산기!$C$23/(12*(1-계산기!$C$18^2))*(A92/(계산기!$C$11*계산기!$C$10))^2</f>
        <v/>
      </c>
      <c r="D92" s="27">
        <f>IF(C92&lt;=계산기!$C$22/2,C92,계산기!$C$22*(1-계산기!$C$22/(4*C92)))</f>
        <v/>
      </c>
      <c r="E92" s="27">
        <f>MIN(D92/계산기!$C$19,계산기!$C$21)</f>
        <v/>
      </c>
      <c r="F92">
        <f>IF(B92&lt;=E92,1,0)</f>
        <v/>
      </c>
    </row>
    <row r="93">
      <c r="A93" s="26" t="n">
        <v>0.465</v>
      </c>
      <c r="B93" s="27">
        <f>계산기!$C$7*계산기!$C$8/A93</f>
        <v/>
      </c>
      <c r="C93" s="27">
        <f>PI()^2*계산기!$C$23/(12*(1-계산기!$C$18^2))*(A93/(계산기!$C$11*계산기!$C$10))^2</f>
        <v/>
      </c>
      <c r="D93" s="27">
        <f>IF(C93&lt;=계산기!$C$22/2,C93,계산기!$C$22*(1-계산기!$C$22/(4*C93)))</f>
        <v/>
      </c>
      <c r="E93" s="27">
        <f>MIN(D93/계산기!$C$19,계산기!$C$21)</f>
        <v/>
      </c>
      <c r="F93">
        <f>IF(B93&lt;=E93,1,0)</f>
        <v/>
      </c>
    </row>
    <row r="94">
      <c r="A94" s="26" t="n">
        <v>0.47</v>
      </c>
      <c r="B94" s="27">
        <f>계산기!$C$7*계산기!$C$8/A94</f>
        <v/>
      </c>
      <c r="C94" s="27">
        <f>PI()^2*계산기!$C$23/(12*(1-계산기!$C$18^2))*(A94/(계산기!$C$11*계산기!$C$10))^2</f>
        <v/>
      </c>
      <c r="D94" s="27">
        <f>IF(C94&lt;=계산기!$C$22/2,C94,계산기!$C$22*(1-계산기!$C$22/(4*C94)))</f>
        <v/>
      </c>
      <c r="E94" s="27">
        <f>MIN(D94/계산기!$C$19,계산기!$C$21)</f>
        <v/>
      </c>
      <c r="F94">
        <f>IF(B94&lt;=E94,1,0)</f>
        <v/>
      </c>
    </row>
    <row r="95">
      <c r="A95" s="26" t="n">
        <v>0.475</v>
      </c>
      <c r="B95" s="27">
        <f>계산기!$C$7*계산기!$C$8/A95</f>
        <v/>
      </c>
      <c r="C95" s="27">
        <f>PI()^2*계산기!$C$23/(12*(1-계산기!$C$18^2))*(A95/(계산기!$C$11*계산기!$C$10))^2</f>
        <v/>
      </c>
      <c r="D95" s="27">
        <f>IF(C95&lt;=계산기!$C$22/2,C95,계산기!$C$22*(1-계산기!$C$22/(4*C95)))</f>
        <v/>
      </c>
      <c r="E95" s="27">
        <f>MIN(D95/계산기!$C$19,계산기!$C$21)</f>
        <v/>
      </c>
      <c r="F95">
        <f>IF(B95&lt;=E95,1,0)</f>
        <v/>
      </c>
    </row>
    <row r="96">
      <c r="A96" s="26" t="n">
        <v>0.48</v>
      </c>
      <c r="B96" s="27">
        <f>계산기!$C$7*계산기!$C$8/A96</f>
        <v/>
      </c>
      <c r="C96" s="27">
        <f>PI()^2*계산기!$C$23/(12*(1-계산기!$C$18^2))*(A96/(계산기!$C$11*계산기!$C$10))^2</f>
        <v/>
      </c>
      <c r="D96" s="27">
        <f>IF(C96&lt;=계산기!$C$22/2,C96,계산기!$C$22*(1-계산기!$C$22/(4*C96)))</f>
        <v/>
      </c>
      <c r="E96" s="27">
        <f>MIN(D96/계산기!$C$19,계산기!$C$21)</f>
        <v/>
      </c>
      <c r="F96">
        <f>IF(B96&lt;=E96,1,0)</f>
        <v/>
      </c>
    </row>
    <row r="97">
      <c r="A97" s="26" t="n">
        <v>0.485</v>
      </c>
      <c r="B97" s="27">
        <f>계산기!$C$7*계산기!$C$8/A97</f>
        <v/>
      </c>
      <c r="C97" s="27">
        <f>PI()^2*계산기!$C$23/(12*(1-계산기!$C$18^2))*(A97/(계산기!$C$11*계산기!$C$10))^2</f>
        <v/>
      </c>
      <c r="D97" s="27">
        <f>IF(C97&lt;=계산기!$C$22/2,C97,계산기!$C$22*(1-계산기!$C$22/(4*C97)))</f>
        <v/>
      </c>
      <c r="E97" s="27">
        <f>MIN(D97/계산기!$C$19,계산기!$C$21)</f>
        <v/>
      </c>
      <c r="F97">
        <f>IF(B97&lt;=E97,1,0)</f>
        <v/>
      </c>
    </row>
    <row r="98">
      <c r="A98" s="26" t="n">
        <v>0.49</v>
      </c>
      <c r="B98" s="27">
        <f>계산기!$C$7*계산기!$C$8/A98</f>
        <v/>
      </c>
      <c r="C98" s="27">
        <f>PI()^2*계산기!$C$23/(12*(1-계산기!$C$18^2))*(A98/(계산기!$C$11*계산기!$C$10))^2</f>
        <v/>
      </c>
      <c r="D98" s="27">
        <f>IF(C98&lt;=계산기!$C$22/2,C98,계산기!$C$22*(1-계산기!$C$22/(4*C98)))</f>
        <v/>
      </c>
      <c r="E98" s="27">
        <f>MIN(D98/계산기!$C$19,계산기!$C$21)</f>
        <v/>
      </c>
      <c r="F98">
        <f>IF(B98&lt;=E98,1,0)</f>
        <v/>
      </c>
    </row>
    <row r="99">
      <c r="A99" s="26" t="n">
        <v>0.495</v>
      </c>
      <c r="B99" s="27">
        <f>계산기!$C$7*계산기!$C$8/A99</f>
        <v/>
      </c>
      <c r="C99" s="27">
        <f>PI()^2*계산기!$C$23/(12*(1-계산기!$C$18^2))*(A99/(계산기!$C$11*계산기!$C$10))^2</f>
        <v/>
      </c>
      <c r="D99" s="27">
        <f>IF(C99&lt;=계산기!$C$22/2,C99,계산기!$C$22*(1-계산기!$C$22/(4*C99)))</f>
        <v/>
      </c>
      <c r="E99" s="27">
        <f>MIN(D99/계산기!$C$19,계산기!$C$21)</f>
        <v/>
      </c>
      <c r="F99">
        <f>IF(B99&lt;=E99,1,0)</f>
        <v/>
      </c>
    </row>
    <row r="100">
      <c r="A100" s="26" t="n">
        <v>0.5</v>
      </c>
      <c r="B100" s="27">
        <f>계산기!$C$7*계산기!$C$8/A100</f>
        <v/>
      </c>
      <c r="C100" s="27">
        <f>PI()^2*계산기!$C$23/(12*(1-계산기!$C$18^2))*(A100/(계산기!$C$11*계산기!$C$10))^2</f>
        <v/>
      </c>
      <c r="D100" s="27">
        <f>IF(C100&lt;=계산기!$C$22/2,C100,계산기!$C$22*(1-계산기!$C$22/(4*C100)))</f>
        <v/>
      </c>
      <c r="E100" s="27">
        <f>MIN(D100/계산기!$C$19,계산기!$C$21)</f>
        <v/>
      </c>
      <c r="F100">
        <f>IF(B100&lt;=E100,1,0)</f>
        <v/>
      </c>
    </row>
    <row r="101">
      <c r="A101" s="26" t="n">
        <v>0.505</v>
      </c>
      <c r="B101" s="27">
        <f>계산기!$C$7*계산기!$C$8/A101</f>
        <v/>
      </c>
      <c r="C101" s="27">
        <f>PI()^2*계산기!$C$23/(12*(1-계산기!$C$18^2))*(A101/(계산기!$C$11*계산기!$C$10))^2</f>
        <v/>
      </c>
      <c r="D101" s="27">
        <f>IF(C101&lt;=계산기!$C$22/2,C101,계산기!$C$22*(1-계산기!$C$22/(4*C101)))</f>
        <v/>
      </c>
      <c r="E101" s="27">
        <f>MIN(D101/계산기!$C$19,계산기!$C$21)</f>
        <v/>
      </c>
      <c r="F101">
        <f>IF(B101&lt;=E101,1,0)</f>
        <v/>
      </c>
    </row>
    <row r="102">
      <c r="A102" s="26" t="n">
        <v>0.51</v>
      </c>
      <c r="B102" s="27">
        <f>계산기!$C$7*계산기!$C$8/A102</f>
        <v/>
      </c>
      <c r="C102" s="27">
        <f>PI()^2*계산기!$C$23/(12*(1-계산기!$C$18^2))*(A102/(계산기!$C$11*계산기!$C$10))^2</f>
        <v/>
      </c>
      <c r="D102" s="27">
        <f>IF(C102&lt;=계산기!$C$22/2,C102,계산기!$C$22*(1-계산기!$C$22/(4*C102)))</f>
        <v/>
      </c>
      <c r="E102" s="27">
        <f>MIN(D102/계산기!$C$19,계산기!$C$21)</f>
        <v/>
      </c>
      <c r="F102">
        <f>IF(B102&lt;=E102,1,0)</f>
        <v/>
      </c>
    </row>
    <row r="103">
      <c r="A103" s="26" t="n">
        <v>0.515</v>
      </c>
      <c r="B103" s="27">
        <f>계산기!$C$7*계산기!$C$8/A103</f>
        <v/>
      </c>
      <c r="C103" s="27">
        <f>PI()^2*계산기!$C$23/(12*(1-계산기!$C$18^2))*(A103/(계산기!$C$11*계산기!$C$10))^2</f>
        <v/>
      </c>
      <c r="D103" s="27">
        <f>IF(C103&lt;=계산기!$C$22/2,C103,계산기!$C$22*(1-계산기!$C$22/(4*C103)))</f>
        <v/>
      </c>
      <c r="E103" s="27">
        <f>MIN(D103/계산기!$C$19,계산기!$C$21)</f>
        <v/>
      </c>
      <c r="F103">
        <f>IF(B103&lt;=E103,1,0)</f>
        <v/>
      </c>
    </row>
    <row r="104">
      <c r="A104" s="26" t="n">
        <v>0.52</v>
      </c>
      <c r="B104" s="27">
        <f>계산기!$C$7*계산기!$C$8/A104</f>
        <v/>
      </c>
      <c r="C104" s="27">
        <f>PI()^2*계산기!$C$23/(12*(1-계산기!$C$18^2))*(A104/(계산기!$C$11*계산기!$C$10))^2</f>
        <v/>
      </c>
      <c r="D104" s="27">
        <f>IF(C104&lt;=계산기!$C$22/2,C104,계산기!$C$22*(1-계산기!$C$22/(4*C104)))</f>
        <v/>
      </c>
      <c r="E104" s="27">
        <f>MIN(D104/계산기!$C$19,계산기!$C$21)</f>
        <v/>
      </c>
      <c r="F104">
        <f>IF(B104&lt;=E104,1,0)</f>
        <v/>
      </c>
    </row>
    <row r="105">
      <c r="A105" s="26" t="n">
        <v>0.525</v>
      </c>
      <c r="B105" s="27">
        <f>계산기!$C$7*계산기!$C$8/A105</f>
        <v/>
      </c>
      <c r="C105" s="27">
        <f>PI()^2*계산기!$C$23/(12*(1-계산기!$C$18^2))*(A105/(계산기!$C$11*계산기!$C$10))^2</f>
        <v/>
      </c>
      <c r="D105" s="27">
        <f>IF(C105&lt;=계산기!$C$22/2,C105,계산기!$C$22*(1-계산기!$C$22/(4*C105)))</f>
        <v/>
      </c>
      <c r="E105" s="27">
        <f>MIN(D105/계산기!$C$19,계산기!$C$21)</f>
        <v/>
      </c>
      <c r="F105">
        <f>IF(B105&lt;=E105,1,0)</f>
        <v/>
      </c>
    </row>
    <row r="106">
      <c r="A106" s="26" t="n">
        <v>0.53</v>
      </c>
      <c r="B106" s="27">
        <f>계산기!$C$7*계산기!$C$8/A106</f>
        <v/>
      </c>
      <c r="C106" s="27">
        <f>PI()^2*계산기!$C$23/(12*(1-계산기!$C$18^2))*(A106/(계산기!$C$11*계산기!$C$10))^2</f>
        <v/>
      </c>
      <c r="D106" s="27">
        <f>IF(C106&lt;=계산기!$C$22/2,C106,계산기!$C$22*(1-계산기!$C$22/(4*C106)))</f>
        <v/>
      </c>
      <c r="E106" s="27">
        <f>MIN(D106/계산기!$C$19,계산기!$C$21)</f>
        <v/>
      </c>
      <c r="F106">
        <f>IF(B106&lt;=E106,1,0)</f>
        <v/>
      </c>
    </row>
    <row r="107">
      <c r="A107" s="26" t="n">
        <v>0.535</v>
      </c>
      <c r="B107" s="27">
        <f>계산기!$C$7*계산기!$C$8/A107</f>
        <v/>
      </c>
      <c r="C107" s="27">
        <f>PI()^2*계산기!$C$23/(12*(1-계산기!$C$18^2))*(A107/(계산기!$C$11*계산기!$C$10))^2</f>
        <v/>
      </c>
      <c r="D107" s="27">
        <f>IF(C107&lt;=계산기!$C$22/2,C107,계산기!$C$22*(1-계산기!$C$22/(4*C107)))</f>
        <v/>
      </c>
      <c r="E107" s="27">
        <f>MIN(D107/계산기!$C$19,계산기!$C$21)</f>
        <v/>
      </c>
      <c r="F107">
        <f>IF(B107&lt;=E107,1,0)</f>
        <v/>
      </c>
    </row>
    <row r="108">
      <c r="A108" s="26" t="n">
        <v>0.54</v>
      </c>
      <c r="B108" s="27">
        <f>계산기!$C$7*계산기!$C$8/A108</f>
        <v/>
      </c>
      <c r="C108" s="27">
        <f>PI()^2*계산기!$C$23/(12*(1-계산기!$C$18^2))*(A108/(계산기!$C$11*계산기!$C$10))^2</f>
        <v/>
      </c>
      <c r="D108" s="27">
        <f>IF(C108&lt;=계산기!$C$22/2,C108,계산기!$C$22*(1-계산기!$C$22/(4*C108)))</f>
        <v/>
      </c>
      <c r="E108" s="27">
        <f>MIN(D108/계산기!$C$19,계산기!$C$21)</f>
        <v/>
      </c>
      <c r="F108">
        <f>IF(B108&lt;=E108,1,0)</f>
        <v/>
      </c>
    </row>
    <row r="109">
      <c r="A109" s="26" t="n">
        <v>0.545</v>
      </c>
      <c r="B109" s="27">
        <f>계산기!$C$7*계산기!$C$8/A109</f>
        <v/>
      </c>
      <c r="C109" s="27">
        <f>PI()^2*계산기!$C$23/(12*(1-계산기!$C$18^2))*(A109/(계산기!$C$11*계산기!$C$10))^2</f>
        <v/>
      </c>
      <c r="D109" s="27">
        <f>IF(C109&lt;=계산기!$C$22/2,C109,계산기!$C$22*(1-계산기!$C$22/(4*C109)))</f>
        <v/>
      </c>
      <c r="E109" s="27">
        <f>MIN(D109/계산기!$C$19,계산기!$C$21)</f>
        <v/>
      </c>
      <c r="F109">
        <f>IF(B109&lt;=E109,1,0)</f>
        <v/>
      </c>
    </row>
    <row r="110">
      <c r="A110" s="26" t="n">
        <v>0.55</v>
      </c>
      <c r="B110" s="27">
        <f>계산기!$C$7*계산기!$C$8/A110</f>
        <v/>
      </c>
      <c r="C110" s="27">
        <f>PI()^2*계산기!$C$23/(12*(1-계산기!$C$18^2))*(A110/(계산기!$C$11*계산기!$C$10))^2</f>
        <v/>
      </c>
      <c r="D110" s="27">
        <f>IF(C110&lt;=계산기!$C$22/2,C110,계산기!$C$22*(1-계산기!$C$22/(4*C110)))</f>
        <v/>
      </c>
      <c r="E110" s="27">
        <f>MIN(D110/계산기!$C$19,계산기!$C$21)</f>
        <v/>
      </c>
      <c r="F110">
        <f>IF(B110&lt;=E110,1,0)</f>
        <v/>
      </c>
    </row>
    <row r="111">
      <c r="A111" s="26" t="n">
        <v>0.555</v>
      </c>
      <c r="B111" s="27">
        <f>계산기!$C$7*계산기!$C$8/A111</f>
        <v/>
      </c>
      <c r="C111" s="27">
        <f>PI()^2*계산기!$C$23/(12*(1-계산기!$C$18^2))*(A111/(계산기!$C$11*계산기!$C$10))^2</f>
        <v/>
      </c>
      <c r="D111" s="27">
        <f>IF(C111&lt;=계산기!$C$22/2,C111,계산기!$C$22*(1-계산기!$C$22/(4*C111)))</f>
        <v/>
      </c>
      <c r="E111" s="27">
        <f>MIN(D111/계산기!$C$19,계산기!$C$21)</f>
        <v/>
      </c>
      <c r="F111">
        <f>IF(B111&lt;=E111,1,0)</f>
        <v/>
      </c>
    </row>
    <row r="112">
      <c r="A112" s="26" t="n">
        <v>0.5600000000000001</v>
      </c>
      <c r="B112" s="27">
        <f>계산기!$C$7*계산기!$C$8/A112</f>
        <v/>
      </c>
      <c r="C112" s="27">
        <f>PI()^2*계산기!$C$23/(12*(1-계산기!$C$18^2))*(A112/(계산기!$C$11*계산기!$C$10))^2</f>
        <v/>
      </c>
      <c r="D112" s="27">
        <f>IF(C112&lt;=계산기!$C$22/2,C112,계산기!$C$22*(1-계산기!$C$22/(4*C112)))</f>
        <v/>
      </c>
      <c r="E112" s="27">
        <f>MIN(D112/계산기!$C$19,계산기!$C$21)</f>
        <v/>
      </c>
      <c r="F112">
        <f>IF(B112&lt;=E112,1,0)</f>
        <v/>
      </c>
    </row>
    <row r="113">
      <c r="A113" s="26" t="n">
        <v>0.5649999999999999</v>
      </c>
      <c r="B113" s="27">
        <f>계산기!$C$7*계산기!$C$8/A113</f>
        <v/>
      </c>
      <c r="C113" s="27">
        <f>PI()^2*계산기!$C$23/(12*(1-계산기!$C$18^2))*(A113/(계산기!$C$11*계산기!$C$10))^2</f>
        <v/>
      </c>
      <c r="D113" s="27">
        <f>IF(C113&lt;=계산기!$C$22/2,C113,계산기!$C$22*(1-계산기!$C$22/(4*C113)))</f>
        <v/>
      </c>
      <c r="E113" s="27">
        <f>MIN(D113/계산기!$C$19,계산기!$C$21)</f>
        <v/>
      </c>
      <c r="F113">
        <f>IF(B113&lt;=E113,1,0)</f>
        <v/>
      </c>
    </row>
    <row r="114">
      <c r="A114" s="26" t="n">
        <v>0.57</v>
      </c>
      <c r="B114" s="27">
        <f>계산기!$C$7*계산기!$C$8/A114</f>
        <v/>
      </c>
      <c r="C114" s="27">
        <f>PI()^2*계산기!$C$23/(12*(1-계산기!$C$18^2))*(A114/(계산기!$C$11*계산기!$C$10))^2</f>
        <v/>
      </c>
      <c r="D114" s="27">
        <f>IF(C114&lt;=계산기!$C$22/2,C114,계산기!$C$22*(1-계산기!$C$22/(4*C114)))</f>
        <v/>
      </c>
      <c r="E114" s="27">
        <f>MIN(D114/계산기!$C$19,계산기!$C$21)</f>
        <v/>
      </c>
      <c r="F114">
        <f>IF(B114&lt;=E114,1,0)</f>
        <v/>
      </c>
    </row>
    <row r="115">
      <c r="A115" s="26" t="n">
        <v>0.575</v>
      </c>
      <c r="B115" s="27">
        <f>계산기!$C$7*계산기!$C$8/A115</f>
        <v/>
      </c>
      <c r="C115" s="27">
        <f>PI()^2*계산기!$C$23/(12*(1-계산기!$C$18^2))*(A115/(계산기!$C$11*계산기!$C$10))^2</f>
        <v/>
      </c>
      <c r="D115" s="27">
        <f>IF(C115&lt;=계산기!$C$22/2,C115,계산기!$C$22*(1-계산기!$C$22/(4*C115)))</f>
        <v/>
      </c>
      <c r="E115" s="27">
        <f>MIN(D115/계산기!$C$19,계산기!$C$21)</f>
        <v/>
      </c>
      <c r="F115">
        <f>IF(B115&lt;=E115,1,0)</f>
        <v/>
      </c>
    </row>
    <row r="116">
      <c r="A116" s="26" t="n">
        <v>0.58</v>
      </c>
      <c r="B116" s="27">
        <f>계산기!$C$7*계산기!$C$8/A116</f>
        <v/>
      </c>
      <c r="C116" s="27">
        <f>PI()^2*계산기!$C$23/(12*(1-계산기!$C$18^2))*(A116/(계산기!$C$11*계산기!$C$10))^2</f>
        <v/>
      </c>
      <c r="D116" s="27">
        <f>IF(C116&lt;=계산기!$C$22/2,C116,계산기!$C$22*(1-계산기!$C$22/(4*C116)))</f>
        <v/>
      </c>
      <c r="E116" s="27">
        <f>MIN(D116/계산기!$C$19,계산기!$C$21)</f>
        <v/>
      </c>
      <c r="F116">
        <f>IF(B116&lt;=E116,1,0)</f>
        <v/>
      </c>
    </row>
    <row r="117">
      <c r="A117" s="26" t="n">
        <v>0.585</v>
      </c>
      <c r="B117" s="27">
        <f>계산기!$C$7*계산기!$C$8/A117</f>
        <v/>
      </c>
      <c r="C117" s="27">
        <f>PI()^2*계산기!$C$23/(12*(1-계산기!$C$18^2))*(A117/(계산기!$C$11*계산기!$C$10))^2</f>
        <v/>
      </c>
      <c r="D117" s="27">
        <f>IF(C117&lt;=계산기!$C$22/2,C117,계산기!$C$22*(1-계산기!$C$22/(4*C117)))</f>
        <v/>
      </c>
      <c r="E117" s="27">
        <f>MIN(D117/계산기!$C$19,계산기!$C$21)</f>
        <v/>
      </c>
      <c r="F117">
        <f>IF(B117&lt;=E117,1,0)</f>
        <v/>
      </c>
    </row>
    <row r="118">
      <c r="A118" s="26" t="n">
        <v>0.59</v>
      </c>
      <c r="B118" s="27">
        <f>계산기!$C$7*계산기!$C$8/A118</f>
        <v/>
      </c>
      <c r="C118" s="27">
        <f>PI()^2*계산기!$C$23/(12*(1-계산기!$C$18^2))*(A118/(계산기!$C$11*계산기!$C$10))^2</f>
        <v/>
      </c>
      <c r="D118" s="27">
        <f>IF(C118&lt;=계산기!$C$22/2,C118,계산기!$C$22*(1-계산기!$C$22/(4*C118)))</f>
        <v/>
      </c>
      <c r="E118" s="27">
        <f>MIN(D118/계산기!$C$19,계산기!$C$21)</f>
        <v/>
      </c>
      <c r="F118">
        <f>IF(B118&lt;=E118,1,0)</f>
        <v/>
      </c>
    </row>
    <row r="119">
      <c r="A119" s="26" t="n">
        <v>0.595</v>
      </c>
      <c r="B119" s="27">
        <f>계산기!$C$7*계산기!$C$8/A119</f>
        <v/>
      </c>
      <c r="C119" s="27">
        <f>PI()^2*계산기!$C$23/(12*(1-계산기!$C$18^2))*(A119/(계산기!$C$11*계산기!$C$10))^2</f>
        <v/>
      </c>
      <c r="D119" s="27">
        <f>IF(C119&lt;=계산기!$C$22/2,C119,계산기!$C$22*(1-계산기!$C$22/(4*C119)))</f>
        <v/>
      </c>
      <c r="E119" s="27">
        <f>MIN(D119/계산기!$C$19,계산기!$C$21)</f>
        <v/>
      </c>
      <c r="F119">
        <f>IF(B119&lt;=E119,1,0)</f>
        <v/>
      </c>
    </row>
    <row r="120">
      <c r="A120" s="26" t="n">
        <v>0.6</v>
      </c>
      <c r="B120" s="27">
        <f>계산기!$C$7*계산기!$C$8/A120</f>
        <v/>
      </c>
      <c r="C120" s="27">
        <f>PI()^2*계산기!$C$23/(12*(1-계산기!$C$18^2))*(A120/(계산기!$C$11*계산기!$C$10))^2</f>
        <v/>
      </c>
      <c r="D120" s="27">
        <f>IF(C120&lt;=계산기!$C$22/2,C120,계산기!$C$22*(1-계산기!$C$22/(4*C120)))</f>
        <v/>
      </c>
      <c r="E120" s="27">
        <f>MIN(D120/계산기!$C$19,계산기!$C$21)</f>
        <v/>
      </c>
      <c r="F120">
        <f>IF(B120&lt;=E120,1,0)</f>
        <v/>
      </c>
    </row>
    <row r="121">
      <c r="A121" s="26" t="n">
        <v>0.605</v>
      </c>
      <c r="B121" s="27">
        <f>계산기!$C$7*계산기!$C$8/A121</f>
        <v/>
      </c>
      <c r="C121" s="27">
        <f>PI()^2*계산기!$C$23/(12*(1-계산기!$C$18^2))*(A121/(계산기!$C$11*계산기!$C$10))^2</f>
        <v/>
      </c>
      <c r="D121" s="27">
        <f>IF(C121&lt;=계산기!$C$22/2,C121,계산기!$C$22*(1-계산기!$C$22/(4*C121)))</f>
        <v/>
      </c>
      <c r="E121" s="27">
        <f>MIN(D121/계산기!$C$19,계산기!$C$21)</f>
        <v/>
      </c>
      <c r="F121">
        <f>IF(B121&lt;=E121,1,0)</f>
        <v/>
      </c>
    </row>
    <row r="122">
      <c r="A122" s="26" t="n">
        <v>0.61</v>
      </c>
      <c r="B122" s="27">
        <f>계산기!$C$7*계산기!$C$8/A122</f>
        <v/>
      </c>
      <c r="C122" s="27">
        <f>PI()^2*계산기!$C$23/(12*(1-계산기!$C$18^2))*(A122/(계산기!$C$11*계산기!$C$10))^2</f>
        <v/>
      </c>
      <c r="D122" s="27">
        <f>IF(C122&lt;=계산기!$C$22/2,C122,계산기!$C$22*(1-계산기!$C$22/(4*C122)))</f>
        <v/>
      </c>
      <c r="E122" s="27">
        <f>MIN(D122/계산기!$C$19,계산기!$C$21)</f>
        <v/>
      </c>
      <c r="F122">
        <f>IF(B122&lt;=E122,1,0)</f>
        <v/>
      </c>
    </row>
    <row r="123">
      <c r="A123" s="26" t="n">
        <v>0.615</v>
      </c>
      <c r="B123" s="27">
        <f>계산기!$C$7*계산기!$C$8/A123</f>
        <v/>
      </c>
      <c r="C123" s="27">
        <f>PI()^2*계산기!$C$23/(12*(1-계산기!$C$18^2))*(A123/(계산기!$C$11*계산기!$C$10))^2</f>
        <v/>
      </c>
      <c r="D123" s="27">
        <f>IF(C123&lt;=계산기!$C$22/2,C123,계산기!$C$22*(1-계산기!$C$22/(4*C123)))</f>
        <v/>
      </c>
      <c r="E123" s="27">
        <f>MIN(D123/계산기!$C$19,계산기!$C$21)</f>
        <v/>
      </c>
      <c r="F123">
        <f>IF(B123&lt;=E123,1,0)</f>
        <v/>
      </c>
    </row>
    <row r="124">
      <c r="A124" s="26" t="n">
        <v>0.62</v>
      </c>
      <c r="B124" s="27">
        <f>계산기!$C$7*계산기!$C$8/A124</f>
        <v/>
      </c>
      <c r="C124" s="27">
        <f>PI()^2*계산기!$C$23/(12*(1-계산기!$C$18^2))*(A124/(계산기!$C$11*계산기!$C$10))^2</f>
        <v/>
      </c>
      <c r="D124" s="27">
        <f>IF(C124&lt;=계산기!$C$22/2,C124,계산기!$C$22*(1-계산기!$C$22/(4*C124)))</f>
        <v/>
      </c>
      <c r="E124" s="27">
        <f>MIN(D124/계산기!$C$19,계산기!$C$21)</f>
        <v/>
      </c>
      <c r="F124">
        <f>IF(B124&lt;=E124,1,0)</f>
        <v/>
      </c>
    </row>
    <row r="125">
      <c r="A125" s="26" t="n">
        <v>0.625</v>
      </c>
      <c r="B125" s="27">
        <f>계산기!$C$7*계산기!$C$8/A125</f>
        <v/>
      </c>
      <c r="C125" s="27">
        <f>PI()^2*계산기!$C$23/(12*(1-계산기!$C$18^2))*(A125/(계산기!$C$11*계산기!$C$10))^2</f>
        <v/>
      </c>
      <c r="D125" s="27">
        <f>IF(C125&lt;=계산기!$C$22/2,C125,계산기!$C$22*(1-계산기!$C$22/(4*C125)))</f>
        <v/>
      </c>
      <c r="E125" s="27">
        <f>MIN(D125/계산기!$C$19,계산기!$C$21)</f>
        <v/>
      </c>
      <c r="F125">
        <f>IF(B125&lt;=E125,1,0)</f>
        <v/>
      </c>
    </row>
    <row r="126">
      <c r="A126" s="26" t="n">
        <v>0.63</v>
      </c>
      <c r="B126" s="27">
        <f>계산기!$C$7*계산기!$C$8/A126</f>
        <v/>
      </c>
      <c r="C126" s="27">
        <f>PI()^2*계산기!$C$23/(12*(1-계산기!$C$18^2))*(A126/(계산기!$C$11*계산기!$C$10))^2</f>
        <v/>
      </c>
      <c r="D126" s="27">
        <f>IF(C126&lt;=계산기!$C$22/2,C126,계산기!$C$22*(1-계산기!$C$22/(4*C126)))</f>
        <v/>
      </c>
      <c r="E126" s="27">
        <f>MIN(D126/계산기!$C$19,계산기!$C$21)</f>
        <v/>
      </c>
      <c r="F126">
        <f>IF(B126&lt;=E126,1,0)</f>
        <v/>
      </c>
    </row>
    <row r="127">
      <c r="A127" s="26" t="n">
        <v>0.635</v>
      </c>
      <c r="B127" s="27">
        <f>계산기!$C$7*계산기!$C$8/A127</f>
        <v/>
      </c>
      <c r="C127" s="27">
        <f>PI()^2*계산기!$C$23/(12*(1-계산기!$C$18^2))*(A127/(계산기!$C$11*계산기!$C$10))^2</f>
        <v/>
      </c>
      <c r="D127" s="27">
        <f>IF(C127&lt;=계산기!$C$22/2,C127,계산기!$C$22*(1-계산기!$C$22/(4*C127)))</f>
        <v/>
      </c>
      <c r="E127" s="27">
        <f>MIN(D127/계산기!$C$19,계산기!$C$21)</f>
        <v/>
      </c>
      <c r="F127">
        <f>IF(B127&lt;=E127,1,0)</f>
        <v/>
      </c>
    </row>
    <row r="128">
      <c r="A128" s="26" t="n">
        <v>0.64</v>
      </c>
      <c r="B128" s="27">
        <f>계산기!$C$7*계산기!$C$8/A128</f>
        <v/>
      </c>
      <c r="C128" s="27">
        <f>PI()^2*계산기!$C$23/(12*(1-계산기!$C$18^2))*(A128/(계산기!$C$11*계산기!$C$10))^2</f>
        <v/>
      </c>
      <c r="D128" s="27">
        <f>IF(C128&lt;=계산기!$C$22/2,C128,계산기!$C$22*(1-계산기!$C$22/(4*C128)))</f>
        <v/>
      </c>
      <c r="E128" s="27">
        <f>MIN(D128/계산기!$C$19,계산기!$C$21)</f>
        <v/>
      </c>
      <c r="F128">
        <f>IF(B128&lt;=E128,1,0)</f>
        <v/>
      </c>
    </row>
    <row r="129">
      <c r="A129" s="26" t="n">
        <v>0.645</v>
      </c>
      <c r="B129" s="27">
        <f>계산기!$C$7*계산기!$C$8/A129</f>
        <v/>
      </c>
      <c r="C129" s="27">
        <f>PI()^2*계산기!$C$23/(12*(1-계산기!$C$18^2))*(A129/(계산기!$C$11*계산기!$C$10))^2</f>
        <v/>
      </c>
      <c r="D129" s="27">
        <f>IF(C129&lt;=계산기!$C$22/2,C129,계산기!$C$22*(1-계산기!$C$22/(4*C129)))</f>
        <v/>
      </c>
      <c r="E129" s="27">
        <f>MIN(D129/계산기!$C$19,계산기!$C$21)</f>
        <v/>
      </c>
      <c r="F129">
        <f>IF(B129&lt;=E129,1,0)</f>
        <v/>
      </c>
    </row>
    <row r="130">
      <c r="A130" s="26" t="n">
        <v>0.65</v>
      </c>
      <c r="B130" s="27">
        <f>계산기!$C$7*계산기!$C$8/A130</f>
        <v/>
      </c>
      <c r="C130" s="27">
        <f>PI()^2*계산기!$C$23/(12*(1-계산기!$C$18^2))*(A130/(계산기!$C$11*계산기!$C$10))^2</f>
        <v/>
      </c>
      <c r="D130" s="27">
        <f>IF(C130&lt;=계산기!$C$22/2,C130,계산기!$C$22*(1-계산기!$C$22/(4*C130)))</f>
        <v/>
      </c>
      <c r="E130" s="27">
        <f>MIN(D130/계산기!$C$19,계산기!$C$21)</f>
        <v/>
      </c>
      <c r="F130">
        <f>IF(B130&lt;=E130,1,0)</f>
        <v/>
      </c>
    </row>
    <row r="131">
      <c r="A131" s="26" t="n">
        <v>0.655</v>
      </c>
      <c r="B131" s="27">
        <f>계산기!$C$7*계산기!$C$8/A131</f>
        <v/>
      </c>
      <c r="C131" s="27">
        <f>PI()^2*계산기!$C$23/(12*(1-계산기!$C$18^2))*(A131/(계산기!$C$11*계산기!$C$10))^2</f>
        <v/>
      </c>
      <c r="D131" s="27">
        <f>IF(C131&lt;=계산기!$C$22/2,C131,계산기!$C$22*(1-계산기!$C$22/(4*C131)))</f>
        <v/>
      </c>
      <c r="E131" s="27">
        <f>MIN(D131/계산기!$C$19,계산기!$C$21)</f>
        <v/>
      </c>
      <c r="F131">
        <f>IF(B131&lt;=E131,1,0)</f>
        <v/>
      </c>
    </row>
    <row r="132">
      <c r="A132" s="26" t="n">
        <v>0.66</v>
      </c>
      <c r="B132" s="27">
        <f>계산기!$C$7*계산기!$C$8/A132</f>
        <v/>
      </c>
      <c r="C132" s="27">
        <f>PI()^2*계산기!$C$23/(12*(1-계산기!$C$18^2))*(A132/(계산기!$C$11*계산기!$C$10))^2</f>
        <v/>
      </c>
      <c r="D132" s="27">
        <f>IF(C132&lt;=계산기!$C$22/2,C132,계산기!$C$22*(1-계산기!$C$22/(4*C132)))</f>
        <v/>
      </c>
      <c r="E132" s="27">
        <f>MIN(D132/계산기!$C$19,계산기!$C$21)</f>
        <v/>
      </c>
      <c r="F132">
        <f>IF(B132&lt;=E132,1,0)</f>
        <v/>
      </c>
    </row>
    <row r="133">
      <c r="A133" s="26" t="n">
        <v>0.665</v>
      </c>
      <c r="B133" s="27">
        <f>계산기!$C$7*계산기!$C$8/A133</f>
        <v/>
      </c>
      <c r="C133" s="27">
        <f>PI()^2*계산기!$C$23/(12*(1-계산기!$C$18^2))*(A133/(계산기!$C$11*계산기!$C$10))^2</f>
        <v/>
      </c>
      <c r="D133" s="27">
        <f>IF(C133&lt;=계산기!$C$22/2,C133,계산기!$C$22*(1-계산기!$C$22/(4*C133)))</f>
        <v/>
      </c>
      <c r="E133" s="27">
        <f>MIN(D133/계산기!$C$19,계산기!$C$21)</f>
        <v/>
      </c>
      <c r="F133">
        <f>IF(B133&lt;=E133,1,0)</f>
        <v/>
      </c>
    </row>
    <row r="134">
      <c r="A134" s="26" t="n">
        <v>0.67</v>
      </c>
      <c r="B134" s="27">
        <f>계산기!$C$7*계산기!$C$8/A134</f>
        <v/>
      </c>
      <c r="C134" s="27">
        <f>PI()^2*계산기!$C$23/(12*(1-계산기!$C$18^2))*(A134/(계산기!$C$11*계산기!$C$10))^2</f>
        <v/>
      </c>
      <c r="D134" s="27">
        <f>IF(C134&lt;=계산기!$C$22/2,C134,계산기!$C$22*(1-계산기!$C$22/(4*C134)))</f>
        <v/>
      </c>
      <c r="E134" s="27">
        <f>MIN(D134/계산기!$C$19,계산기!$C$21)</f>
        <v/>
      </c>
      <c r="F134">
        <f>IF(B134&lt;=E134,1,0)</f>
        <v/>
      </c>
    </row>
    <row r="135">
      <c r="A135" s="26" t="n">
        <v>0.675</v>
      </c>
      <c r="B135" s="27">
        <f>계산기!$C$7*계산기!$C$8/A135</f>
        <v/>
      </c>
      <c r="C135" s="27">
        <f>PI()^2*계산기!$C$23/(12*(1-계산기!$C$18^2))*(A135/(계산기!$C$11*계산기!$C$10))^2</f>
        <v/>
      </c>
      <c r="D135" s="27">
        <f>IF(C135&lt;=계산기!$C$22/2,C135,계산기!$C$22*(1-계산기!$C$22/(4*C135)))</f>
        <v/>
      </c>
      <c r="E135" s="27">
        <f>MIN(D135/계산기!$C$19,계산기!$C$21)</f>
        <v/>
      </c>
      <c r="F135">
        <f>IF(B135&lt;=E135,1,0)</f>
        <v/>
      </c>
    </row>
    <row r="136">
      <c r="A136" s="26" t="n">
        <v>0.68</v>
      </c>
      <c r="B136" s="27">
        <f>계산기!$C$7*계산기!$C$8/A136</f>
        <v/>
      </c>
      <c r="C136" s="27">
        <f>PI()^2*계산기!$C$23/(12*(1-계산기!$C$18^2))*(A136/(계산기!$C$11*계산기!$C$10))^2</f>
        <v/>
      </c>
      <c r="D136" s="27">
        <f>IF(C136&lt;=계산기!$C$22/2,C136,계산기!$C$22*(1-계산기!$C$22/(4*C136)))</f>
        <v/>
      </c>
      <c r="E136" s="27">
        <f>MIN(D136/계산기!$C$19,계산기!$C$21)</f>
        <v/>
      </c>
      <c r="F136">
        <f>IF(B136&lt;=E136,1,0)</f>
        <v/>
      </c>
    </row>
    <row r="137">
      <c r="A137" s="26" t="n">
        <v>0.6850000000000001</v>
      </c>
      <c r="B137" s="27">
        <f>계산기!$C$7*계산기!$C$8/A137</f>
        <v/>
      </c>
      <c r="C137" s="27">
        <f>PI()^2*계산기!$C$23/(12*(1-계산기!$C$18^2))*(A137/(계산기!$C$11*계산기!$C$10))^2</f>
        <v/>
      </c>
      <c r="D137" s="27">
        <f>IF(C137&lt;=계산기!$C$22/2,C137,계산기!$C$22*(1-계산기!$C$22/(4*C137)))</f>
        <v/>
      </c>
      <c r="E137" s="27">
        <f>MIN(D137/계산기!$C$19,계산기!$C$21)</f>
        <v/>
      </c>
      <c r="F137">
        <f>IF(B137&lt;=E137,1,0)</f>
        <v/>
      </c>
    </row>
    <row r="138">
      <c r="A138" s="26" t="n">
        <v>0.6899999999999999</v>
      </c>
      <c r="B138" s="27">
        <f>계산기!$C$7*계산기!$C$8/A138</f>
        <v/>
      </c>
      <c r="C138" s="27">
        <f>PI()^2*계산기!$C$23/(12*(1-계산기!$C$18^2))*(A138/(계산기!$C$11*계산기!$C$10))^2</f>
        <v/>
      </c>
      <c r="D138" s="27">
        <f>IF(C138&lt;=계산기!$C$22/2,C138,계산기!$C$22*(1-계산기!$C$22/(4*C138)))</f>
        <v/>
      </c>
      <c r="E138" s="27">
        <f>MIN(D138/계산기!$C$19,계산기!$C$21)</f>
        <v/>
      </c>
      <c r="F138">
        <f>IF(B138&lt;=E138,1,0)</f>
        <v/>
      </c>
    </row>
    <row r="139">
      <c r="A139" s="26" t="n">
        <v>0.695</v>
      </c>
      <c r="B139" s="27">
        <f>계산기!$C$7*계산기!$C$8/A139</f>
        <v/>
      </c>
      <c r="C139" s="27">
        <f>PI()^2*계산기!$C$23/(12*(1-계산기!$C$18^2))*(A139/(계산기!$C$11*계산기!$C$10))^2</f>
        <v/>
      </c>
      <c r="D139" s="27">
        <f>IF(C139&lt;=계산기!$C$22/2,C139,계산기!$C$22*(1-계산기!$C$22/(4*C139)))</f>
        <v/>
      </c>
      <c r="E139" s="27">
        <f>MIN(D139/계산기!$C$19,계산기!$C$21)</f>
        <v/>
      </c>
      <c r="F139">
        <f>IF(B139&lt;=E139,1,0)</f>
        <v/>
      </c>
    </row>
    <row r="140">
      <c r="A140" s="26" t="n">
        <v>0.7</v>
      </c>
      <c r="B140" s="27">
        <f>계산기!$C$7*계산기!$C$8/A140</f>
        <v/>
      </c>
      <c r="C140" s="27">
        <f>PI()^2*계산기!$C$23/(12*(1-계산기!$C$18^2))*(A140/(계산기!$C$11*계산기!$C$10))^2</f>
        <v/>
      </c>
      <c r="D140" s="27">
        <f>IF(C140&lt;=계산기!$C$22/2,C140,계산기!$C$22*(1-계산기!$C$22/(4*C140)))</f>
        <v/>
      </c>
      <c r="E140" s="27">
        <f>MIN(D140/계산기!$C$19,계산기!$C$21)</f>
        <v/>
      </c>
      <c r="F140">
        <f>IF(B140&lt;=E140,1,0)</f>
        <v/>
      </c>
    </row>
    <row r="141">
      <c r="A141" s="26" t="n">
        <v>0.705</v>
      </c>
      <c r="B141" s="27">
        <f>계산기!$C$7*계산기!$C$8/A141</f>
        <v/>
      </c>
      <c r="C141" s="27">
        <f>PI()^2*계산기!$C$23/(12*(1-계산기!$C$18^2))*(A141/(계산기!$C$11*계산기!$C$10))^2</f>
        <v/>
      </c>
      <c r="D141" s="27">
        <f>IF(C141&lt;=계산기!$C$22/2,C141,계산기!$C$22*(1-계산기!$C$22/(4*C141)))</f>
        <v/>
      </c>
      <c r="E141" s="27">
        <f>MIN(D141/계산기!$C$19,계산기!$C$21)</f>
        <v/>
      </c>
      <c r="F141">
        <f>IF(B141&lt;=E141,1,0)</f>
        <v/>
      </c>
    </row>
    <row r="142">
      <c r="A142" s="26" t="n">
        <v>0.71</v>
      </c>
      <c r="B142" s="27">
        <f>계산기!$C$7*계산기!$C$8/A142</f>
        <v/>
      </c>
      <c r="C142" s="27">
        <f>PI()^2*계산기!$C$23/(12*(1-계산기!$C$18^2))*(A142/(계산기!$C$11*계산기!$C$10))^2</f>
        <v/>
      </c>
      <c r="D142" s="27">
        <f>IF(C142&lt;=계산기!$C$22/2,C142,계산기!$C$22*(1-계산기!$C$22/(4*C142)))</f>
        <v/>
      </c>
      <c r="E142" s="27">
        <f>MIN(D142/계산기!$C$19,계산기!$C$21)</f>
        <v/>
      </c>
      <c r="F142">
        <f>IF(B142&lt;=E142,1,0)</f>
        <v/>
      </c>
    </row>
    <row r="143">
      <c r="A143" s="26" t="n">
        <v>0.715</v>
      </c>
      <c r="B143" s="27">
        <f>계산기!$C$7*계산기!$C$8/A143</f>
        <v/>
      </c>
      <c r="C143" s="27">
        <f>PI()^2*계산기!$C$23/(12*(1-계산기!$C$18^2))*(A143/(계산기!$C$11*계산기!$C$10))^2</f>
        <v/>
      </c>
      <c r="D143" s="27">
        <f>IF(C143&lt;=계산기!$C$22/2,C143,계산기!$C$22*(1-계산기!$C$22/(4*C143)))</f>
        <v/>
      </c>
      <c r="E143" s="27">
        <f>MIN(D143/계산기!$C$19,계산기!$C$21)</f>
        <v/>
      </c>
      <c r="F143">
        <f>IF(B143&lt;=E143,1,0)</f>
        <v/>
      </c>
    </row>
    <row r="144">
      <c r="A144" s="26" t="n">
        <v>0.72</v>
      </c>
      <c r="B144" s="27">
        <f>계산기!$C$7*계산기!$C$8/A144</f>
        <v/>
      </c>
      <c r="C144" s="27">
        <f>PI()^2*계산기!$C$23/(12*(1-계산기!$C$18^2))*(A144/(계산기!$C$11*계산기!$C$10))^2</f>
        <v/>
      </c>
      <c r="D144" s="27">
        <f>IF(C144&lt;=계산기!$C$22/2,C144,계산기!$C$22*(1-계산기!$C$22/(4*C144)))</f>
        <v/>
      </c>
      <c r="E144" s="27">
        <f>MIN(D144/계산기!$C$19,계산기!$C$21)</f>
        <v/>
      </c>
      <c r="F144">
        <f>IF(B144&lt;=E144,1,0)</f>
        <v/>
      </c>
    </row>
    <row r="145">
      <c r="A145" s="26" t="n">
        <v>0.725</v>
      </c>
      <c r="B145" s="27">
        <f>계산기!$C$7*계산기!$C$8/A145</f>
        <v/>
      </c>
      <c r="C145" s="27">
        <f>PI()^2*계산기!$C$23/(12*(1-계산기!$C$18^2))*(A145/(계산기!$C$11*계산기!$C$10))^2</f>
        <v/>
      </c>
      <c r="D145" s="27">
        <f>IF(C145&lt;=계산기!$C$22/2,C145,계산기!$C$22*(1-계산기!$C$22/(4*C145)))</f>
        <v/>
      </c>
      <c r="E145" s="27">
        <f>MIN(D145/계산기!$C$19,계산기!$C$21)</f>
        <v/>
      </c>
      <c r="F145">
        <f>IF(B145&lt;=E145,1,0)</f>
        <v/>
      </c>
    </row>
    <row r="146">
      <c r="A146" s="26" t="n">
        <v>0.73</v>
      </c>
      <c r="B146" s="27">
        <f>계산기!$C$7*계산기!$C$8/A146</f>
        <v/>
      </c>
      <c r="C146" s="27">
        <f>PI()^2*계산기!$C$23/(12*(1-계산기!$C$18^2))*(A146/(계산기!$C$11*계산기!$C$10))^2</f>
        <v/>
      </c>
      <c r="D146" s="27">
        <f>IF(C146&lt;=계산기!$C$22/2,C146,계산기!$C$22*(1-계산기!$C$22/(4*C146)))</f>
        <v/>
      </c>
      <c r="E146" s="27">
        <f>MIN(D146/계산기!$C$19,계산기!$C$21)</f>
        <v/>
      </c>
      <c r="F146">
        <f>IF(B146&lt;=E146,1,0)</f>
        <v/>
      </c>
    </row>
    <row r="147">
      <c r="A147" s="26" t="n">
        <v>0.735</v>
      </c>
      <c r="B147" s="27">
        <f>계산기!$C$7*계산기!$C$8/A147</f>
        <v/>
      </c>
      <c r="C147" s="27">
        <f>PI()^2*계산기!$C$23/(12*(1-계산기!$C$18^2))*(A147/(계산기!$C$11*계산기!$C$10))^2</f>
        <v/>
      </c>
      <c r="D147" s="27">
        <f>IF(C147&lt;=계산기!$C$22/2,C147,계산기!$C$22*(1-계산기!$C$22/(4*C147)))</f>
        <v/>
      </c>
      <c r="E147" s="27">
        <f>MIN(D147/계산기!$C$19,계산기!$C$21)</f>
        <v/>
      </c>
      <c r="F147">
        <f>IF(B147&lt;=E147,1,0)</f>
        <v/>
      </c>
    </row>
    <row r="148">
      <c r="A148" s="26" t="n">
        <v>0.74</v>
      </c>
      <c r="B148" s="27">
        <f>계산기!$C$7*계산기!$C$8/A148</f>
        <v/>
      </c>
      <c r="C148" s="27">
        <f>PI()^2*계산기!$C$23/(12*(1-계산기!$C$18^2))*(A148/(계산기!$C$11*계산기!$C$10))^2</f>
        <v/>
      </c>
      <c r="D148" s="27">
        <f>IF(C148&lt;=계산기!$C$22/2,C148,계산기!$C$22*(1-계산기!$C$22/(4*C148)))</f>
        <v/>
      </c>
      <c r="E148" s="27">
        <f>MIN(D148/계산기!$C$19,계산기!$C$21)</f>
        <v/>
      </c>
      <c r="F148">
        <f>IF(B148&lt;=E148,1,0)</f>
        <v/>
      </c>
    </row>
    <row r="149">
      <c r="A149" s="26" t="n">
        <v>0.745</v>
      </c>
      <c r="B149" s="27">
        <f>계산기!$C$7*계산기!$C$8/A149</f>
        <v/>
      </c>
      <c r="C149" s="27">
        <f>PI()^2*계산기!$C$23/(12*(1-계산기!$C$18^2))*(A149/(계산기!$C$11*계산기!$C$10))^2</f>
        <v/>
      </c>
      <c r="D149" s="27">
        <f>IF(C149&lt;=계산기!$C$22/2,C149,계산기!$C$22*(1-계산기!$C$22/(4*C149)))</f>
        <v/>
      </c>
      <c r="E149" s="27">
        <f>MIN(D149/계산기!$C$19,계산기!$C$21)</f>
        <v/>
      </c>
      <c r="F149">
        <f>IF(B149&lt;=E149,1,0)</f>
        <v/>
      </c>
    </row>
    <row r="150">
      <c r="A150" s="26" t="n">
        <v>0.75</v>
      </c>
      <c r="B150" s="27">
        <f>계산기!$C$7*계산기!$C$8/A150</f>
        <v/>
      </c>
      <c r="C150" s="27">
        <f>PI()^2*계산기!$C$23/(12*(1-계산기!$C$18^2))*(A150/(계산기!$C$11*계산기!$C$10))^2</f>
        <v/>
      </c>
      <c r="D150" s="27">
        <f>IF(C150&lt;=계산기!$C$22/2,C150,계산기!$C$22*(1-계산기!$C$22/(4*C150)))</f>
        <v/>
      </c>
      <c r="E150" s="27">
        <f>MIN(D150/계산기!$C$19,계산기!$C$21)</f>
        <v/>
      </c>
      <c r="F150">
        <f>IF(B150&lt;=E150,1,0)</f>
        <v/>
      </c>
    </row>
    <row r="151">
      <c r="A151" s="26" t="n">
        <v>0.755</v>
      </c>
      <c r="B151" s="27">
        <f>계산기!$C$7*계산기!$C$8/A151</f>
        <v/>
      </c>
      <c r="C151" s="27">
        <f>PI()^2*계산기!$C$23/(12*(1-계산기!$C$18^2))*(A151/(계산기!$C$11*계산기!$C$10))^2</f>
        <v/>
      </c>
      <c r="D151" s="27">
        <f>IF(C151&lt;=계산기!$C$22/2,C151,계산기!$C$22*(1-계산기!$C$22/(4*C151)))</f>
        <v/>
      </c>
      <c r="E151" s="27">
        <f>MIN(D151/계산기!$C$19,계산기!$C$21)</f>
        <v/>
      </c>
      <c r="F151">
        <f>IF(B151&lt;=E151,1,0)</f>
        <v/>
      </c>
    </row>
    <row r="152">
      <c r="A152" s="26" t="n">
        <v>0.76</v>
      </c>
      <c r="B152" s="27">
        <f>계산기!$C$7*계산기!$C$8/A152</f>
        <v/>
      </c>
      <c r="C152" s="27">
        <f>PI()^2*계산기!$C$23/(12*(1-계산기!$C$18^2))*(A152/(계산기!$C$11*계산기!$C$10))^2</f>
        <v/>
      </c>
      <c r="D152" s="27">
        <f>IF(C152&lt;=계산기!$C$22/2,C152,계산기!$C$22*(1-계산기!$C$22/(4*C152)))</f>
        <v/>
      </c>
      <c r="E152" s="27">
        <f>MIN(D152/계산기!$C$19,계산기!$C$21)</f>
        <v/>
      </c>
      <c r="F152">
        <f>IF(B152&lt;=E152,1,0)</f>
        <v/>
      </c>
    </row>
    <row r="153">
      <c r="A153" s="26" t="n">
        <v>0.765</v>
      </c>
      <c r="B153" s="27">
        <f>계산기!$C$7*계산기!$C$8/A153</f>
        <v/>
      </c>
      <c r="C153" s="27">
        <f>PI()^2*계산기!$C$23/(12*(1-계산기!$C$18^2))*(A153/(계산기!$C$11*계산기!$C$10))^2</f>
        <v/>
      </c>
      <c r="D153" s="27">
        <f>IF(C153&lt;=계산기!$C$22/2,C153,계산기!$C$22*(1-계산기!$C$22/(4*C153)))</f>
        <v/>
      </c>
      <c r="E153" s="27">
        <f>MIN(D153/계산기!$C$19,계산기!$C$21)</f>
        <v/>
      </c>
      <c r="F153">
        <f>IF(B153&lt;=E153,1,0)</f>
        <v/>
      </c>
    </row>
    <row r="154">
      <c r="A154" s="26" t="n">
        <v>0.77</v>
      </c>
      <c r="B154" s="27">
        <f>계산기!$C$7*계산기!$C$8/A154</f>
        <v/>
      </c>
      <c r="C154" s="27">
        <f>PI()^2*계산기!$C$23/(12*(1-계산기!$C$18^2))*(A154/(계산기!$C$11*계산기!$C$10))^2</f>
        <v/>
      </c>
      <c r="D154" s="27">
        <f>IF(C154&lt;=계산기!$C$22/2,C154,계산기!$C$22*(1-계산기!$C$22/(4*C154)))</f>
        <v/>
      </c>
      <c r="E154" s="27">
        <f>MIN(D154/계산기!$C$19,계산기!$C$21)</f>
        <v/>
      </c>
      <c r="F154">
        <f>IF(B154&lt;=E154,1,0)</f>
        <v/>
      </c>
    </row>
    <row r="155">
      <c r="A155" s="26" t="n">
        <v>0.775</v>
      </c>
      <c r="B155" s="27">
        <f>계산기!$C$7*계산기!$C$8/A155</f>
        <v/>
      </c>
      <c r="C155" s="27">
        <f>PI()^2*계산기!$C$23/(12*(1-계산기!$C$18^2))*(A155/(계산기!$C$11*계산기!$C$10))^2</f>
        <v/>
      </c>
      <c r="D155" s="27">
        <f>IF(C155&lt;=계산기!$C$22/2,C155,계산기!$C$22*(1-계산기!$C$22/(4*C155)))</f>
        <v/>
      </c>
      <c r="E155" s="27">
        <f>MIN(D155/계산기!$C$19,계산기!$C$21)</f>
        <v/>
      </c>
      <c r="F155">
        <f>IF(B155&lt;=E155,1,0)</f>
        <v/>
      </c>
    </row>
    <row r="156">
      <c r="A156" s="26" t="n">
        <v>0.78</v>
      </c>
      <c r="B156" s="27">
        <f>계산기!$C$7*계산기!$C$8/A156</f>
        <v/>
      </c>
      <c r="C156" s="27">
        <f>PI()^2*계산기!$C$23/(12*(1-계산기!$C$18^2))*(A156/(계산기!$C$11*계산기!$C$10))^2</f>
        <v/>
      </c>
      <c r="D156" s="27">
        <f>IF(C156&lt;=계산기!$C$22/2,C156,계산기!$C$22*(1-계산기!$C$22/(4*C156)))</f>
        <v/>
      </c>
      <c r="E156" s="27">
        <f>MIN(D156/계산기!$C$19,계산기!$C$21)</f>
        <v/>
      </c>
      <c r="F156">
        <f>IF(B156&lt;=E156,1,0)</f>
        <v/>
      </c>
    </row>
    <row r="157">
      <c r="A157" s="26" t="n">
        <v>0.785</v>
      </c>
      <c r="B157" s="27">
        <f>계산기!$C$7*계산기!$C$8/A157</f>
        <v/>
      </c>
      <c r="C157" s="27">
        <f>PI()^2*계산기!$C$23/(12*(1-계산기!$C$18^2))*(A157/(계산기!$C$11*계산기!$C$10))^2</f>
        <v/>
      </c>
      <c r="D157" s="27">
        <f>IF(C157&lt;=계산기!$C$22/2,C157,계산기!$C$22*(1-계산기!$C$22/(4*C157)))</f>
        <v/>
      </c>
      <c r="E157" s="27">
        <f>MIN(D157/계산기!$C$19,계산기!$C$21)</f>
        <v/>
      </c>
      <c r="F157">
        <f>IF(B157&lt;=E157,1,0)</f>
        <v/>
      </c>
    </row>
    <row r="158">
      <c r="A158" s="26" t="n">
        <v>0.79</v>
      </c>
      <c r="B158" s="27">
        <f>계산기!$C$7*계산기!$C$8/A158</f>
        <v/>
      </c>
      <c r="C158" s="27">
        <f>PI()^2*계산기!$C$23/(12*(1-계산기!$C$18^2))*(A158/(계산기!$C$11*계산기!$C$10))^2</f>
        <v/>
      </c>
      <c r="D158" s="27">
        <f>IF(C158&lt;=계산기!$C$22/2,C158,계산기!$C$22*(1-계산기!$C$22/(4*C158)))</f>
        <v/>
      </c>
      <c r="E158" s="27">
        <f>MIN(D158/계산기!$C$19,계산기!$C$21)</f>
        <v/>
      </c>
      <c r="F158">
        <f>IF(B158&lt;=E158,1,0)</f>
        <v/>
      </c>
    </row>
    <row r="159">
      <c r="A159" s="26" t="n">
        <v>0.795</v>
      </c>
      <c r="B159" s="27">
        <f>계산기!$C$7*계산기!$C$8/A159</f>
        <v/>
      </c>
      <c r="C159" s="27">
        <f>PI()^2*계산기!$C$23/(12*(1-계산기!$C$18^2))*(A159/(계산기!$C$11*계산기!$C$10))^2</f>
        <v/>
      </c>
      <c r="D159" s="27">
        <f>IF(C159&lt;=계산기!$C$22/2,C159,계산기!$C$22*(1-계산기!$C$22/(4*C159)))</f>
        <v/>
      </c>
      <c r="E159" s="27">
        <f>MIN(D159/계산기!$C$19,계산기!$C$21)</f>
        <v/>
      </c>
      <c r="F159">
        <f>IF(B159&lt;=E159,1,0)</f>
        <v/>
      </c>
    </row>
    <row r="160">
      <c r="A160" s="26" t="n">
        <v>0.8</v>
      </c>
      <c r="B160" s="27">
        <f>계산기!$C$7*계산기!$C$8/A160</f>
        <v/>
      </c>
      <c r="C160" s="27">
        <f>PI()^2*계산기!$C$23/(12*(1-계산기!$C$18^2))*(A160/(계산기!$C$11*계산기!$C$10))^2</f>
        <v/>
      </c>
      <c r="D160" s="27">
        <f>IF(C160&lt;=계산기!$C$22/2,C160,계산기!$C$22*(1-계산기!$C$22/(4*C160)))</f>
        <v/>
      </c>
      <c r="E160" s="27">
        <f>MIN(D160/계산기!$C$19,계산기!$C$21)</f>
        <v/>
      </c>
      <c r="F160">
        <f>IF(B160&lt;=E160,1,0)</f>
        <v/>
      </c>
    </row>
    <row r="161">
      <c r="A161" s="26" t="n">
        <v>0.805</v>
      </c>
      <c r="B161" s="27">
        <f>계산기!$C$7*계산기!$C$8/A161</f>
        <v/>
      </c>
      <c r="C161" s="27">
        <f>PI()^2*계산기!$C$23/(12*(1-계산기!$C$18^2))*(A161/(계산기!$C$11*계산기!$C$10))^2</f>
        <v/>
      </c>
      <c r="D161" s="27">
        <f>IF(C161&lt;=계산기!$C$22/2,C161,계산기!$C$22*(1-계산기!$C$22/(4*C161)))</f>
        <v/>
      </c>
      <c r="E161" s="27">
        <f>MIN(D161/계산기!$C$19,계산기!$C$21)</f>
        <v/>
      </c>
      <c r="F161">
        <f>IF(B161&lt;=E161,1,0)</f>
        <v/>
      </c>
    </row>
    <row r="162">
      <c r="A162" s="26" t="n">
        <v>0.8100000000000001</v>
      </c>
      <c r="B162" s="27">
        <f>계산기!$C$7*계산기!$C$8/A162</f>
        <v/>
      </c>
      <c r="C162" s="27">
        <f>PI()^2*계산기!$C$23/(12*(1-계산기!$C$18^2))*(A162/(계산기!$C$11*계산기!$C$10))^2</f>
        <v/>
      </c>
      <c r="D162" s="27">
        <f>IF(C162&lt;=계산기!$C$22/2,C162,계산기!$C$22*(1-계산기!$C$22/(4*C162)))</f>
        <v/>
      </c>
      <c r="E162" s="27">
        <f>MIN(D162/계산기!$C$19,계산기!$C$21)</f>
        <v/>
      </c>
      <c r="F162">
        <f>IF(B162&lt;=E162,1,0)</f>
        <v/>
      </c>
    </row>
    <row r="163">
      <c r="A163" s="26" t="n">
        <v>0.8149999999999999</v>
      </c>
      <c r="B163" s="27">
        <f>계산기!$C$7*계산기!$C$8/A163</f>
        <v/>
      </c>
      <c r="C163" s="27">
        <f>PI()^2*계산기!$C$23/(12*(1-계산기!$C$18^2))*(A163/(계산기!$C$11*계산기!$C$10))^2</f>
        <v/>
      </c>
      <c r="D163" s="27">
        <f>IF(C163&lt;=계산기!$C$22/2,C163,계산기!$C$22*(1-계산기!$C$22/(4*C163)))</f>
        <v/>
      </c>
      <c r="E163" s="27">
        <f>MIN(D163/계산기!$C$19,계산기!$C$21)</f>
        <v/>
      </c>
      <c r="F163">
        <f>IF(B163&lt;=E163,1,0)</f>
        <v/>
      </c>
    </row>
    <row r="164">
      <c r="A164" s="26" t="n">
        <v>0.82</v>
      </c>
      <c r="B164" s="27">
        <f>계산기!$C$7*계산기!$C$8/A164</f>
        <v/>
      </c>
      <c r="C164" s="27">
        <f>PI()^2*계산기!$C$23/(12*(1-계산기!$C$18^2))*(A164/(계산기!$C$11*계산기!$C$10))^2</f>
        <v/>
      </c>
      <c r="D164" s="27">
        <f>IF(C164&lt;=계산기!$C$22/2,C164,계산기!$C$22*(1-계산기!$C$22/(4*C164)))</f>
        <v/>
      </c>
      <c r="E164" s="27">
        <f>MIN(D164/계산기!$C$19,계산기!$C$21)</f>
        <v/>
      </c>
      <c r="F164">
        <f>IF(B164&lt;=E164,1,0)</f>
        <v/>
      </c>
    </row>
    <row r="165">
      <c r="A165" s="26" t="n">
        <v>0.825</v>
      </c>
      <c r="B165" s="27">
        <f>계산기!$C$7*계산기!$C$8/A165</f>
        <v/>
      </c>
      <c r="C165" s="27">
        <f>PI()^2*계산기!$C$23/(12*(1-계산기!$C$18^2))*(A165/(계산기!$C$11*계산기!$C$10))^2</f>
        <v/>
      </c>
      <c r="D165" s="27">
        <f>IF(C165&lt;=계산기!$C$22/2,C165,계산기!$C$22*(1-계산기!$C$22/(4*C165)))</f>
        <v/>
      </c>
      <c r="E165" s="27">
        <f>MIN(D165/계산기!$C$19,계산기!$C$21)</f>
        <v/>
      </c>
      <c r="F165">
        <f>IF(B165&lt;=E165,1,0)</f>
        <v/>
      </c>
    </row>
    <row r="166">
      <c r="A166" s="26" t="n">
        <v>0.83</v>
      </c>
      <c r="B166" s="27">
        <f>계산기!$C$7*계산기!$C$8/A166</f>
        <v/>
      </c>
      <c r="C166" s="27">
        <f>PI()^2*계산기!$C$23/(12*(1-계산기!$C$18^2))*(A166/(계산기!$C$11*계산기!$C$10))^2</f>
        <v/>
      </c>
      <c r="D166" s="27">
        <f>IF(C166&lt;=계산기!$C$22/2,C166,계산기!$C$22*(1-계산기!$C$22/(4*C166)))</f>
        <v/>
      </c>
      <c r="E166" s="27">
        <f>MIN(D166/계산기!$C$19,계산기!$C$21)</f>
        <v/>
      </c>
      <c r="F166">
        <f>IF(B166&lt;=E166,1,0)</f>
        <v/>
      </c>
    </row>
    <row r="167">
      <c r="A167" s="26" t="n">
        <v>0.835</v>
      </c>
      <c r="B167" s="27">
        <f>계산기!$C$7*계산기!$C$8/A167</f>
        <v/>
      </c>
      <c r="C167" s="27">
        <f>PI()^2*계산기!$C$23/(12*(1-계산기!$C$18^2))*(A167/(계산기!$C$11*계산기!$C$10))^2</f>
        <v/>
      </c>
      <c r="D167" s="27">
        <f>IF(C167&lt;=계산기!$C$22/2,C167,계산기!$C$22*(1-계산기!$C$22/(4*C167)))</f>
        <v/>
      </c>
      <c r="E167" s="27">
        <f>MIN(D167/계산기!$C$19,계산기!$C$21)</f>
        <v/>
      </c>
      <c r="F167">
        <f>IF(B167&lt;=E167,1,0)</f>
        <v/>
      </c>
    </row>
    <row r="168">
      <c r="A168" s="26" t="n">
        <v>0.84</v>
      </c>
      <c r="B168" s="27">
        <f>계산기!$C$7*계산기!$C$8/A168</f>
        <v/>
      </c>
      <c r="C168" s="27">
        <f>PI()^2*계산기!$C$23/(12*(1-계산기!$C$18^2))*(A168/(계산기!$C$11*계산기!$C$10))^2</f>
        <v/>
      </c>
      <c r="D168" s="27">
        <f>IF(C168&lt;=계산기!$C$22/2,C168,계산기!$C$22*(1-계산기!$C$22/(4*C168)))</f>
        <v/>
      </c>
      <c r="E168" s="27">
        <f>MIN(D168/계산기!$C$19,계산기!$C$21)</f>
        <v/>
      </c>
      <c r="F168">
        <f>IF(B168&lt;=E168,1,0)</f>
        <v/>
      </c>
    </row>
    <row r="169">
      <c r="A169" s="26" t="n">
        <v>0.845</v>
      </c>
      <c r="B169" s="27">
        <f>계산기!$C$7*계산기!$C$8/A169</f>
        <v/>
      </c>
      <c r="C169" s="27">
        <f>PI()^2*계산기!$C$23/(12*(1-계산기!$C$18^2))*(A169/(계산기!$C$11*계산기!$C$10))^2</f>
        <v/>
      </c>
      <c r="D169" s="27">
        <f>IF(C169&lt;=계산기!$C$22/2,C169,계산기!$C$22*(1-계산기!$C$22/(4*C169)))</f>
        <v/>
      </c>
      <c r="E169" s="27">
        <f>MIN(D169/계산기!$C$19,계산기!$C$21)</f>
        <v/>
      </c>
      <c r="F169">
        <f>IF(B169&lt;=E169,1,0)</f>
        <v/>
      </c>
    </row>
    <row r="170">
      <c r="A170" s="26" t="n">
        <v>0.85</v>
      </c>
      <c r="B170" s="27">
        <f>계산기!$C$7*계산기!$C$8/A170</f>
        <v/>
      </c>
      <c r="C170" s="27">
        <f>PI()^2*계산기!$C$23/(12*(1-계산기!$C$18^2))*(A170/(계산기!$C$11*계산기!$C$10))^2</f>
        <v/>
      </c>
      <c r="D170" s="27">
        <f>IF(C170&lt;=계산기!$C$22/2,C170,계산기!$C$22*(1-계산기!$C$22/(4*C170)))</f>
        <v/>
      </c>
      <c r="E170" s="27">
        <f>MIN(D170/계산기!$C$19,계산기!$C$21)</f>
        <v/>
      </c>
      <c r="F170">
        <f>IF(B170&lt;=E170,1,0)</f>
        <v/>
      </c>
    </row>
    <row r="171">
      <c r="A171" s="26" t="n">
        <v>0.855</v>
      </c>
      <c r="B171" s="27">
        <f>계산기!$C$7*계산기!$C$8/A171</f>
        <v/>
      </c>
      <c r="C171" s="27">
        <f>PI()^2*계산기!$C$23/(12*(1-계산기!$C$18^2))*(A171/(계산기!$C$11*계산기!$C$10))^2</f>
        <v/>
      </c>
      <c r="D171" s="27">
        <f>IF(C171&lt;=계산기!$C$22/2,C171,계산기!$C$22*(1-계산기!$C$22/(4*C171)))</f>
        <v/>
      </c>
      <c r="E171" s="27">
        <f>MIN(D171/계산기!$C$19,계산기!$C$21)</f>
        <v/>
      </c>
      <c r="F171">
        <f>IF(B171&lt;=E171,1,0)</f>
        <v/>
      </c>
    </row>
    <row r="172">
      <c r="A172" s="26" t="n">
        <v>0.86</v>
      </c>
      <c r="B172" s="27">
        <f>계산기!$C$7*계산기!$C$8/A172</f>
        <v/>
      </c>
      <c r="C172" s="27">
        <f>PI()^2*계산기!$C$23/(12*(1-계산기!$C$18^2))*(A172/(계산기!$C$11*계산기!$C$10))^2</f>
        <v/>
      </c>
      <c r="D172" s="27">
        <f>IF(C172&lt;=계산기!$C$22/2,C172,계산기!$C$22*(1-계산기!$C$22/(4*C172)))</f>
        <v/>
      </c>
      <c r="E172" s="27">
        <f>MIN(D172/계산기!$C$19,계산기!$C$21)</f>
        <v/>
      </c>
      <c r="F172">
        <f>IF(B172&lt;=E172,1,0)</f>
        <v/>
      </c>
    </row>
    <row r="173">
      <c r="A173" s="26" t="n">
        <v>0.865</v>
      </c>
      <c r="B173" s="27">
        <f>계산기!$C$7*계산기!$C$8/A173</f>
        <v/>
      </c>
      <c r="C173" s="27">
        <f>PI()^2*계산기!$C$23/(12*(1-계산기!$C$18^2))*(A173/(계산기!$C$11*계산기!$C$10))^2</f>
        <v/>
      </c>
      <c r="D173" s="27">
        <f>IF(C173&lt;=계산기!$C$22/2,C173,계산기!$C$22*(1-계산기!$C$22/(4*C173)))</f>
        <v/>
      </c>
      <c r="E173" s="27">
        <f>MIN(D173/계산기!$C$19,계산기!$C$21)</f>
        <v/>
      </c>
      <c r="F173">
        <f>IF(B173&lt;=E173,1,0)</f>
        <v/>
      </c>
    </row>
    <row r="174">
      <c r="A174" s="26" t="n">
        <v>0.87</v>
      </c>
      <c r="B174" s="27">
        <f>계산기!$C$7*계산기!$C$8/A174</f>
        <v/>
      </c>
      <c r="C174" s="27">
        <f>PI()^2*계산기!$C$23/(12*(1-계산기!$C$18^2))*(A174/(계산기!$C$11*계산기!$C$10))^2</f>
        <v/>
      </c>
      <c r="D174" s="27">
        <f>IF(C174&lt;=계산기!$C$22/2,C174,계산기!$C$22*(1-계산기!$C$22/(4*C174)))</f>
        <v/>
      </c>
      <c r="E174" s="27">
        <f>MIN(D174/계산기!$C$19,계산기!$C$21)</f>
        <v/>
      </c>
      <c r="F174">
        <f>IF(B174&lt;=E174,1,0)</f>
        <v/>
      </c>
    </row>
    <row r="175">
      <c r="A175" s="26" t="n">
        <v>0.875</v>
      </c>
      <c r="B175" s="27">
        <f>계산기!$C$7*계산기!$C$8/A175</f>
        <v/>
      </c>
      <c r="C175" s="27">
        <f>PI()^2*계산기!$C$23/(12*(1-계산기!$C$18^2))*(A175/(계산기!$C$11*계산기!$C$10))^2</f>
        <v/>
      </c>
      <c r="D175" s="27">
        <f>IF(C175&lt;=계산기!$C$22/2,C175,계산기!$C$22*(1-계산기!$C$22/(4*C175)))</f>
        <v/>
      </c>
      <c r="E175" s="27">
        <f>MIN(D175/계산기!$C$19,계산기!$C$21)</f>
        <v/>
      </c>
      <c r="F175">
        <f>IF(B175&lt;=E175,1,0)</f>
        <v/>
      </c>
    </row>
    <row r="176">
      <c r="A176" s="26" t="n">
        <v>0.88</v>
      </c>
      <c r="B176" s="27">
        <f>계산기!$C$7*계산기!$C$8/A176</f>
        <v/>
      </c>
      <c r="C176" s="27">
        <f>PI()^2*계산기!$C$23/(12*(1-계산기!$C$18^2))*(A176/(계산기!$C$11*계산기!$C$10))^2</f>
        <v/>
      </c>
      <c r="D176" s="27">
        <f>IF(C176&lt;=계산기!$C$22/2,C176,계산기!$C$22*(1-계산기!$C$22/(4*C176)))</f>
        <v/>
      </c>
      <c r="E176" s="27">
        <f>MIN(D176/계산기!$C$19,계산기!$C$21)</f>
        <v/>
      </c>
      <c r="F176">
        <f>IF(B176&lt;=E176,1,0)</f>
        <v/>
      </c>
    </row>
    <row r="177">
      <c r="A177" s="26" t="n">
        <v>0.885</v>
      </c>
      <c r="B177" s="27">
        <f>계산기!$C$7*계산기!$C$8/A177</f>
        <v/>
      </c>
      <c r="C177" s="27">
        <f>PI()^2*계산기!$C$23/(12*(1-계산기!$C$18^2))*(A177/(계산기!$C$11*계산기!$C$10))^2</f>
        <v/>
      </c>
      <c r="D177" s="27">
        <f>IF(C177&lt;=계산기!$C$22/2,C177,계산기!$C$22*(1-계산기!$C$22/(4*C177)))</f>
        <v/>
      </c>
      <c r="E177" s="27">
        <f>MIN(D177/계산기!$C$19,계산기!$C$21)</f>
        <v/>
      </c>
      <c r="F177">
        <f>IF(B177&lt;=E177,1,0)</f>
        <v/>
      </c>
    </row>
    <row r="178">
      <c r="A178" s="26" t="n">
        <v>0.89</v>
      </c>
      <c r="B178" s="27">
        <f>계산기!$C$7*계산기!$C$8/A178</f>
        <v/>
      </c>
      <c r="C178" s="27">
        <f>PI()^2*계산기!$C$23/(12*(1-계산기!$C$18^2))*(A178/(계산기!$C$11*계산기!$C$10))^2</f>
        <v/>
      </c>
      <c r="D178" s="27">
        <f>IF(C178&lt;=계산기!$C$22/2,C178,계산기!$C$22*(1-계산기!$C$22/(4*C178)))</f>
        <v/>
      </c>
      <c r="E178" s="27">
        <f>MIN(D178/계산기!$C$19,계산기!$C$21)</f>
        <v/>
      </c>
      <c r="F178">
        <f>IF(B178&lt;=E178,1,0)</f>
        <v/>
      </c>
    </row>
    <row r="179">
      <c r="A179" s="26" t="n">
        <v>0.895</v>
      </c>
      <c r="B179" s="27">
        <f>계산기!$C$7*계산기!$C$8/A179</f>
        <v/>
      </c>
      <c r="C179" s="27">
        <f>PI()^2*계산기!$C$23/(12*(1-계산기!$C$18^2))*(A179/(계산기!$C$11*계산기!$C$10))^2</f>
        <v/>
      </c>
      <c r="D179" s="27">
        <f>IF(C179&lt;=계산기!$C$22/2,C179,계산기!$C$22*(1-계산기!$C$22/(4*C179)))</f>
        <v/>
      </c>
      <c r="E179" s="27">
        <f>MIN(D179/계산기!$C$19,계산기!$C$21)</f>
        <v/>
      </c>
      <c r="F179">
        <f>IF(B179&lt;=E179,1,0)</f>
        <v/>
      </c>
    </row>
    <row r="180">
      <c r="A180" s="26" t="n">
        <v>0.9</v>
      </c>
      <c r="B180" s="27">
        <f>계산기!$C$7*계산기!$C$8/A180</f>
        <v/>
      </c>
      <c r="C180" s="27">
        <f>PI()^2*계산기!$C$23/(12*(1-계산기!$C$18^2))*(A180/(계산기!$C$11*계산기!$C$10))^2</f>
        <v/>
      </c>
      <c r="D180" s="27">
        <f>IF(C180&lt;=계산기!$C$22/2,C180,계산기!$C$22*(1-계산기!$C$22/(4*C180)))</f>
        <v/>
      </c>
      <c r="E180" s="27">
        <f>MIN(D180/계산기!$C$19,계산기!$C$21)</f>
        <v/>
      </c>
      <c r="F180">
        <f>IF(B180&lt;=E180,1,0)</f>
        <v/>
      </c>
    </row>
    <row r="181">
      <c r="A181" s="26" t="n">
        <v>0.905</v>
      </c>
      <c r="B181" s="27">
        <f>계산기!$C$7*계산기!$C$8/A181</f>
        <v/>
      </c>
      <c r="C181" s="27">
        <f>PI()^2*계산기!$C$23/(12*(1-계산기!$C$18^2))*(A181/(계산기!$C$11*계산기!$C$10))^2</f>
        <v/>
      </c>
      <c r="D181" s="27">
        <f>IF(C181&lt;=계산기!$C$22/2,C181,계산기!$C$22*(1-계산기!$C$22/(4*C181)))</f>
        <v/>
      </c>
      <c r="E181" s="27">
        <f>MIN(D181/계산기!$C$19,계산기!$C$21)</f>
        <v/>
      </c>
      <c r="F181">
        <f>IF(B181&lt;=E181,1,0)</f>
        <v/>
      </c>
    </row>
    <row r="182">
      <c r="A182" s="26" t="n">
        <v>0.91</v>
      </c>
      <c r="B182" s="27">
        <f>계산기!$C$7*계산기!$C$8/A182</f>
        <v/>
      </c>
      <c r="C182" s="27">
        <f>PI()^2*계산기!$C$23/(12*(1-계산기!$C$18^2))*(A182/(계산기!$C$11*계산기!$C$10))^2</f>
        <v/>
      </c>
      <c r="D182" s="27">
        <f>IF(C182&lt;=계산기!$C$22/2,C182,계산기!$C$22*(1-계산기!$C$22/(4*C182)))</f>
        <v/>
      </c>
      <c r="E182" s="27">
        <f>MIN(D182/계산기!$C$19,계산기!$C$21)</f>
        <v/>
      </c>
      <c r="F182">
        <f>IF(B182&lt;=E182,1,0)</f>
        <v/>
      </c>
    </row>
    <row r="183">
      <c r="A183" s="26" t="n">
        <v>0.915</v>
      </c>
      <c r="B183" s="27">
        <f>계산기!$C$7*계산기!$C$8/A183</f>
        <v/>
      </c>
      <c r="C183" s="27">
        <f>PI()^2*계산기!$C$23/(12*(1-계산기!$C$18^2))*(A183/(계산기!$C$11*계산기!$C$10))^2</f>
        <v/>
      </c>
      <c r="D183" s="27">
        <f>IF(C183&lt;=계산기!$C$22/2,C183,계산기!$C$22*(1-계산기!$C$22/(4*C183)))</f>
        <v/>
      </c>
      <c r="E183" s="27">
        <f>MIN(D183/계산기!$C$19,계산기!$C$21)</f>
        <v/>
      </c>
      <c r="F183">
        <f>IF(B183&lt;=E183,1,0)</f>
        <v/>
      </c>
    </row>
    <row r="184">
      <c r="A184" s="26" t="n">
        <v>0.92</v>
      </c>
      <c r="B184" s="27">
        <f>계산기!$C$7*계산기!$C$8/A184</f>
        <v/>
      </c>
      <c r="C184" s="27">
        <f>PI()^2*계산기!$C$23/(12*(1-계산기!$C$18^2))*(A184/(계산기!$C$11*계산기!$C$10))^2</f>
        <v/>
      </c>
      <c r="D184" s="27">
        <f>IF(C184&lt;=계산기!$C$22/2,C184,계산기!$C$22*(1-계산기!$C$22/(4*C184)))</f>
        <v/>
      </c>
      <c r="E184" s="27">
        <f>MIN(D184/계산기!$C$19,계산기!$C$21)</f>
        <v/>
      </c>
      <c r="F184">
        <f>IF(B184&lt;=E184,1,0)</f>
        <v/>
      </c>
    </row>
    <row r="185">
      <c r="A185" s="26" t="n">
        <v>0.925</v>
      </c>
      <c r="B185" s="27">
        <f>계산기!$C$7*계산기!$C$8/A185</f>
        <v/>
      </c>
      <c r="C185" s="27">
        <f>PI()^2*계산기!$C$23/(12*(1-계산기!$C$18^2))*(A185/(계산기!$C$11*계산기!$C$10))^2</f>
        <v/>
      </c>
      <c r="D185" s="27">
        <f>IF(C185&lt;=계산기!$C$22/2,C185,계산기!$C$22*(1-계산기!$C$22/(4*C185)))</f>
        <v/>
      </c>
      <c r="E185" s="27">
        <f>MIN(D185/계산기!$C$19,계산기!$C$21)</f>
        <v/>
      </c>
      <c r="F185">
        <f>IF(B185&lt;=E185,1,0)</f>
        <v/>
      </c>
    </row>
    <row r="186">
      <c r="A186" s="26" t="n">
        <v>0.93</v>
      </c>
      <c r="B186" s="27">
        <f>계산기!$C$7*계산기!$C$8/A186</f>
        <v/>
      </c>
      <c r="C186" s="27">
        <f>PI()^2*계산기!$C$23/(12*(1-계산기!$C$18^2))*(A186/(계산기!$C$11*계산기!$C$10))^2</f>
        <v/>
      </c>
      <c r="D186" s="27">
        <f>IF(C186&lt;=계산기!$C$22/2,C186,계산기!$C$22*(1-계산기!$C$22/(4*C186)))</f>
        <v/>
      </c>
      <c r="E186" s="27">
        <f>MIN(D186/계산기!$C$19,계산기!$C$21)</f>
        <v/>
      </c>
      <c r="F186">
        <f>IF(B186&lt;=E186,1,0)</f>
        <v/>
      </c>
    </row>
    <row r="187">
      <c r="A187" s="26" t="n">
        <v>0.9350000000000001</v>
      </c>
      <c r="B187" s="27">
        <f>계산기!$C$7*계산기!$C$8/A187</f>
        <v/>
      </c>
      <c r="C187" s="27">
        <f>PI()^2*계산기!$C$23/(12*(1-계산기!$C$18^2))*(A187/(계산기!$C$11*계산기!$C$10))^2</f>
        <v/>
      </c>
      <c r="D187" s="27">
        <f>IF(C187&lt;=계산기!$C$22/2,C187,계산기!$C$22*(1-계산기!$C$22/(4*C187)))</f>
        <v/>
      </c>
      <c r="E187" s="27">
        <f>MIN(D187/계산기!$C$19,계산기!$C$21)</f>
        <v/>
      </c>
      <c r="F187">
        <f>IF(B187&lt;=E187,1,0)</f>
        <v/>
      </c>
    </row>
    <row r="188">
      <c r="A188" s="26" t="n">
        <v>0.9399999999999999</v>
      </c>
      <c r="B188" s="27">
        <f>계산기!$C$7*계산기!$C$8/A188</f>
        <v/>
      </c>
      <c r="C188" s="27">
        <f>PI()^2*계산기!$C$23/(12*(1-계산기!$C$18^2))*(A188/(계산기!$C$11*계산기!$C$10))^2</f>
        <v/>
      </c>
      <c r="D188" s="27">
        <f>IF(C188&lt;=계산기!$C$22/2,C188,계산기!$C$22*(1-계산기!$C$22/(4*C188)))</f>
        <v/>
      </c>
      <c r="E188" s="27">
        <f>MIN(D188/계산기!$C$19,계산기!$C$21)</f>
        <v/>
      </c>
      <c r="F188">
        <f>IF(B188&lt;=E188,1,0)</f>
        <v/>
      </c>
    </row>
    <row r="189">
      <c r="A189" s="26" t="n">
        <v>0.945</v>
      </c>
      <c r="B189" s="27">
        <f>계산기!$C$7*계산기!$C$8/A189</f>
        <v/>
      </c>
      <c r="C189" s="27">
        <f>PI()^2*계산기!$C$23/(12*(1-계산기!$C$18^2))*(A189/(계산기!$C$11*계산기!$C$10))^2</f>
        <v/>
      </c>
      <c r="D189" s="27">
        <f>IF(C189&lt;=계산기!$C$22/2,C189,계산기!$C$22*(1-계산기!$C$22/(4*C189)))</f>
        <v/>
      </c>
      <c r="E189" s="27">
        <f>MIN(D189/계산기!$C$19,계산기!$C$21)</f>
        <v/>
      </c>
      <c r="F189">
        <f>IF(B189&lt;=E189,1,0)</f>
        <v/>
      </c>
    </row>
    <row r="190">
      <c r="A190" s="26" t="n">
        <v>0.95</v>
      </c>
      <c r="B190" s="27">
        <f>계산기!$C$7*계산기!$C$8/A190</f>
        <v/>
      </c>
      <c r="C190" s="27">
        <f>PI()^2*계산기!$C$23/(12*(1-계산기!$C$18^2))*(A190/(계산기!$C$11*계산기!$C$10))^2</f>
        <v/>
      </c>
      <c r="D190" s="27">
        <f>IF(C190&lt;=계산기!$C$22/2,C190,계산기!$C$22*(1-계산기!$C$22/(4*C190)))</f>
        <v/>
      </c>
      <c r="E190" s="27">
        <f>MIN(D190/계산기!$C$19,계산기!$C$21)</f>
        <v/>
      </c>
      <c r="F190">
        <f>IF(B190&lt;=E190,1,0)</f>
        <v/>
      </c>
    </row>
    <row r="191">
      <c r="A191" s="26" t="n">
        <v>0.955</v>
      </c>
      <c r="B191" s="27">
        <f>계산기!$C$7*계산기!$C$8/A191</f>
        <v/>
      </c>
      <c r="C191" s="27">
        <f>PI()^2*계산기!$C$23/(12*(1-계산기!$C$18^2))*(A191/(계산기!$C$11*계산기!$C$10))^2</f>
        <v/>
      </c>
      <c r="D191" s="27">
        <f>IF(C191&lt;=계산기!$C$22/2,C191,계산기!$C$22*(1-계산기!$C$22/(4*C191)))</f>
        <v/>
      </c>
      <c r="E191" s="27">
        <f>MIN(D191/계산기!$C$19,계산기!$C$21)</f>
        <v/>
      </c>
      <c r="F191">
        <f>IF(B191&lt;=E191,1,0)</f>
        <v/>
      </c>
    </row>
    <row r="192">
      <c r="A192" s="26" t="n">
        <v>0.96</v>
      </c>
      <c r="B192" s="27">
        <f>계산기!$C$7*계산기!$C$8/A192</f>
        <v/>
      </c>
      <c r="C192" s="27">
        <f>PI()^2*계산기!$C$23/(12*(1-계산기!$C$18^2))*(A192/(계산기!$C$11*계산기!$C$10))^2</f>
        <v/>
      </c>
      <c r="D192" s="27">
        <f>IF(C192&lt;=계산기!$C$22/2,C192,계산기!$C$22*(1-계산기!$C$22/(4*C192)))</f>
        <v/>
      </c>
      <c r="E192" s="27">
        <f>MIN(D192/계산기!$C$19,계산기!$C$21)</f>
        <v/>
      </c>
      <c r="F192">
        <f>IF(B192&lt;=E192,1,0)</f>
        <v/>
      </c>
    </row>
    <row r="193">
      <c r="A193" s="26" t="n">
        <v>0.965</v>
      </c>
      <c r="B193" s="27">
        <f>계산기!$C$7*계산기!$C$8/A193</f>
        <v/>
      </c>
      <c r="C193" s="27">
        <f>PI()^2*계산기!$C$23/(12*(1-계산기!$C$18^2))*(A193/(계산기!$C$11*계산기!$C$10))^2</f>
        <v/>
      </c>
      <c r="D193" s="27">
        <f>IF(C193&lt;=계산기!$C$22/2,C193,계산기!$C$22*(1-계산기!$C$22/(4*C193)))</f>
        <v/>
      </c>
      <c r="E193" s="27">
        <f>MIN(D193/계산기!$C$19,계산기!$C$21)</f>
        <v/>
      </c>
      <c r="F193">
        <f>IF(B193&lt;=E193,1,0)</f>
        <v/>
      </c>
    </row>
    <row r="194">
      <c r="A194" s="26" t="n">
        <v>0.97</v>
      </c>
      <c r="B194" s="27">
        <f>계산기!$C$7*계산기!$C$8/A194</f>
        <v/>
      </c>
      <c r="C194" s="27">
        <f>PI()^2*계산기!$C$23/(12*(1-계산기!$C$18^2))*(A194/(계산기!$C$11*계산기!$C$10))^2</f>
        <v/>
      </c>
      <c r="D194" s="27">
        <f>IF(C194&lt;=계산기!$C$22/2,C194,계산기!$C$22*(1-계산기!$C$22/(4*C194)))</f>
        <v/>
      </c>
      <c r="E194" s="27">
        <f>MIN(D194/계산기!$C$19,계산기!$C$21)</f>
        <v/>
      </c>
      <c r="F194">
        <f>IF(B194&lt;=E194,1,0)</f>
        <v/>
      </c>
    </row>
    <row r="195">
      <c r="A195" s="26" t="n">
        <v>0.975</v>
      </c>
      <c r="B195" s="27">
        <f>계산기!$C$7*계산기!$C$8/A195</f>
        <v/>
      </c>
      <c r="C195" s="27">
        <f>PI()^2*계산기!$C$23/(12*(1-계산기!$C$18^2))*(A195/(계산기!$C$11*계산기!$C$10))^2</f>
        <v/>
      </c>
      <c r="D195" s="27">
        <f>IF(C195&lt;=계산기!$C$22/2,C195,계산기!$C$22*(1-계산기!$C$22/(4*C195)))</f>
        <v/>
      </c>
      <c r="E195" s="27">
        <f>MIN(D195/계산기!$C$19,계산기!$C$21)</f>
        <v/>
      </c>
      <c r="F195">
        <f>IF(B195&lt;=E195,1,0)</f>
        <v/>
      </c>
    </row>
    <row r="196">
      <c r="A196" s="26" t="n">
        <v>0.98</v>
      </c>
      <c r="B196" s="27">
        <f>계산기!$C$7*계산기!$C$8/A196</f>
        <v/>
      </c>
      <c r="C196" s="27">
        <f>PI()^2*계산기!$C$23/(12*(1-계산기!$C$18^2))*(A196/(계산기!$C$11*계산기!$C$10))^2</f>
        <v/>
      </c>
      <c r="D196" s="27">
        <f>IF(C196&lt;=계산기!$C$22/2,C196,계산기!$C$22*(1-계산기!$C$22/(4*C196)))</f>
        <v/>
      </c>
      <c r="E196" s="27">
        <f>MIN(D196/계산기!$C$19,계산기!$C$21)</f>
        <v/>
      </c>
      <c r="F196">
        <f>IF(B196&lt;=E196,1,0)</f>
        <v/>
      </c>
    </row>
    <row r="197">
      <c r="A197" s="26" t="n">
        <v>0.985</v>
      </c>
      <c r="B197" s="27">
        <f>계산기!$C$7*계산기!$C$8/A197</f>
        <v/>
      </c>
      <c r="C197" s="27">
        <f>PI()^2*계산기!$C$23/(12*(1-계산기!$C$18^2))*(A197/(계산기!$C$11*계산기!$C$10))^2</f>
        <v/>
      </c>
      <c r="D197" s="27">
        <f>IF(C197&lt;=계산기!$C$22/2,C197,계산기!$C$22*(1-계산기!$C$22/(4*C197)))</f>
        <v/>
      </c>
      <c r="E197" s="27">
        <f>MIN(D197/계산기!$C$19,계산기!$C$21)</f>
        <v/>
      </c>
      <c r="F197">
        <f>IF(B197&lt;=E197,1,0)</f>
        <v/>
      </c>
    </row>
    <row r="198">
      <c r="A198" s="26" t="n">
        <v>0.99</v>
      </c>
      <c r="B198" s="27">
        <f>계산기!$C$7*계산기!$C$8/A198</f>
        <v/>
      </c>
      <c r="C198" s="27">
        <f>PI()^2*계산기!$C$23/(12*(1-계산기!$C$18^2))*(A198/(계산기!$C$11*계산기!$C$10))^2</f>
        <v/>
      </c>
      <c r="D198" s="27">
        <f>IF(C198&lt;=계산기!$C$22/2,C198,계산기!$C$22*(1-계산기!$C$22/(4*C198)))</f>
        <v/>
      </c>
      <c r="E198" s="27">
        <f>MIN(D198/계산기!$C$19,계산기!$C$21)</f>
        <v/>
      </c>
      <c r="F198">
        <f>IF(B198&lt;=E198,1,0)</f>
        <v/>
      </c>
    </row>
    <row r="199">
      <c r="A199" s="26" t="n">
        <v>0.995</v>
      </c>
      <c r="B199" s="27">
        <f>계산기!$C$7*계산기!$C$8/A199</f>
        <v/>
      </c>
      <c r="C199" s="27">
        <f>PI()^2*계산기!$C$23/(12*(1-계산기!$C$18^2))*(A199/(계산기!$C$11*계산기!$C$10))^2</f>
        <v/>
      </c>
      <c r="D199" s="27">
        <f>IF(C199&lt;=계산기!$C$22/2,C199,계산기!$C$22*(1-계산기!$C$22/(4*C199)))</f>
        <v/>
      </c>
      <c r="E199" s="27">
        <f>MIN(D199/계산기!$C$19,계산기!$C$21)</f>
        <v/>
      </c>
      <c r="F199">
        <f>IF(B199&lt;=E199,1,0)</f>
        <v/>
      </c>
    </row>
    <row r="200">
      <c r="A200" s="26" t="n">
        <v>1</v>
      </c>
      <c r="B200" s="27">
        <f>계산기!$C$7*계산기!$C$8/A200</f>
        <v/>
      </c>
      <c r="C200" s="27">
        <f>PI()^2*계산기!$C$23/(12*(1-계산기!$C$18^2))*(A200/(계산기!$C$11*계산기!$C$10))^2</f>
        <v/>
      </c>
      <c r="D200" s="27">
        <f>IF(C200&lt;=계산기!$C$22/2,C200,계산기!$C$22*(1-계산기!$C$22/(4*C200)))</f>
        <v/>
      </c>
      <c r="E200" s="27">
        <f>MIN(D200/계산기!$C$19,계산기!$C$21)</f>
        <v/>
      </c>
      <c r="F200">
        <f>IF(B200&lt;=E200,1,0)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8" t="inlineStr">
        <is>
          <t>PFHE Plain 핀 적정두께 계산기 — 사용 안내</t>
        </is>
      </c>
    </row>
    <row r="2">
      <c r="A2" s="29" t="inlineStr"/>
    </row>
    <row r="3">
      <c r="A3" s="30" t="inlineStr">
        <is>
          <t>■ 사용법</t>
        </is>
      </c>
    </row>
    <row r="4">
      <c r="A4" s="29" t="inlineStr">
        <is>
          <t>1. [계산기] 시트의 파랑(노랑배경) 셀만 편집합니다. 나머지는 자동 계산 수식입니다.</t>
        </is>
      </c>
    </row>
    <row r="5">
      <c r="A5" s="29" t="inlineStr">
        <is>
          <t>2. 단위는 압력 MPa, 길이 mm 입니다 (1 MPa = 10 bar ≈ 10.2 kgf/cm²).</t>
        </is>
      </c>
    </row>
    <row r="6">
      <c r="A6" s="29" t="inlineStr">
        <is>
          <t>3. [1][2]는 최소 소요두께, [3]은 채택 기준(둘 중 큰 값)입니다.</t>
        </is>
      </c>
    </row>
    <row r="7">
      <c r="A7" s="29" t="inlineStr">
        <is>
          <t>4. t_sel(선정 두께)을 입력하면 ⑤ 검증에서 합/부를 판정합니다. 0이면 검증을 건너뜁니다.</t>
        </is>
      </c>
    </row>
    <row r="8">
      <c r="A8" s="29" t="inlineStr">
        <is>
          <t>5. ΔP_c(압축)가 0이면 좌굴 검토는 생략됩니다.</t>
        </is>
      </c>
    </row>
    <row r="9">
      <c r="A9" s="29" t="inlineStr"/>
    </row>
    <row r="10">
      <c r="A10" s="30" t="inlineStr">
        <is>
          <t>■ 계산 근거 (수식)</t>
        </is>
      </c>
    </row>
    <row r="11">
      <c r="A11" s="29" t="inlineStr">
        <is>
          <t>[1] 핀 인장:    t ≥ f·ΔP_t·p / (S(T) + f·ΔP_t)</t>
        </is>
      </c>
    </row>
    <row r="12">
      <c r="A12" s="29" t="inlineStr">
        <is>
          <t>[2] 핀 좌굴:    ΔP_c·p/t ≤ min(σ_cr/DF, S), σ_cr는 오일러식 + Johnson 비탄성 천이</t>
        </is>
      </c>
    </row>
    <row r="13">
      <c r="A13" s="29" t="inlineStr">
        <is>
          <t xml:space="preserve">               → [좌굴스캔] 시트가 후보 두께를 훑어 조건을 만족하는 최소 t를 MINIFS로 반환</t>
        </is>
      </c>
    </row>
    <row r="14">
      <c r="A14" s="29" t="inlineStr">
        <is>
          <t>[3] 파팅시트:  t_ps ≥ √(4·M_d/S),  M_d = w·s²/12 + P_min·(p̄−t)·p̄/8</t>
        </is>
      </c>
    </row>
    <row r="15">
      <c r="A15" s="29" t="inlineStr">
        <is>
          <t>온도 반영:     S(T)/Sy(T)/E(T)를 [물성DB] 표에서 온도 선형보간 (204°C 초과 무효)</t>
        </is>
      </c>
    </row>
    <row r="16">
      <c r="A16" s="29" t="inlineStr"/>
    </row>
    <row r="17">
      <c r="A17" s="30" t="inlineStr">
        <is>
          <t>■ 시트 구성</t>
        </is>
      </c>
    </row>
    <row r="18">
      <c r="A18" s="29" t="inlineStr">
        <is>
          <t>계산기   — 입력/결과 (메인)</t>
        </is>
      </c>
    </row>
    <row r="19">
      <c r="A19" s="29" t="inlineStr">
        <is>
          <t>물성DB   — S(T)/Sy(T)/E(T) 표 (코드 연도판으로 교체 대상)</t>
        </is>
      </c>
    </row>
    <row r="20">
      <c r="A20" s="29" t="inlineStr">
        <is>
          <t>좌굴스캔 — 좌굴 최소두께 반복해용 스캔 테이블 (수정 불필요)</t>
        </is>
      </c>
    </row>
    <row r="21">
      <c r="A21" s="29" t="inlineStr"/>
    </row>
    <row r="22">
      <c r="A22" s="31" t="inlineStr">
        <is>
          <t>■ 한계 및 주의</t>
        </is>
      </c>
    </row>
    <row r="23">
      <c r="A23" s="29" t="inlineStr">
        <is>
          <t>· 예비설계용. 정적 압력하중 전용(열응력·피로는 ALPEMA 8.1 운전제한으로 별도 관리).</t>
        </is>
      </c>
    </row>
    <row r="24">
      <c r="A24" s="29" t="inlineStr">
        <is>
          <t>· S/Sy/E 표는 대표값 — 적용 코드 연도판으로 반드시 검증/교체할 것.</t>
        </is>
      </c>
    </row>
    <row r="25">
      <c r="A25" s="29" t="inlineStr">
        <is>
          <t>· 149°C 이상 장기운전은 크리프 별도 검토. Serrated/천공핀·헤더·노즐은 범위 밖.</t>
        </is>
      </c>
    </row>
    <row r="26">
      <c r="A26" s="29" t="inlineStr">
        <is>
          <t>· 인증 설계는 ALPEMA 5.15.1.1(승인 계산법)/5.15.1.2(파열시험)으로 확정.</t>
        </is>
      </c>
    </row>
    <row r="27">
      <c r="A27" s="29" t="inlineStr">
        <is>
          <t>· 상세 유도는 fin_thickness_derivation.md, 원본 로직은 fin_thickness_calc.py 참조.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2026-07-27T00:10:31Z</dcterms:created>
  <dcterms:modified xsi:type="dcterms:W3CDTF">2026-07-27T00:10:31Z</dcterms:modified>
</cp:coreProperties>
</file>